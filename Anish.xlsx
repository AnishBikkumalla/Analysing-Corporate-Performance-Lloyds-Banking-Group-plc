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Profitability Ratios" sheetId="2" r:id="rId5"/>
    <sheet state="visible" name="Liquidity Ratios" sheetId="3" r:id="rId6"/>
    <sheet state="visible" name="Efficiency Ratios" sheetId="4" r:id="rId7"/>
    <sheet state="visible" name="Solvency Ratios" sheetId="5" r:id="rId8"/>
    <sheet state="visible" name="Investor Ratios" sheetId="6" r:id="rId9"/>
    <sheet state="visible" name="Trend Analysis" sheetId="7" r:id="rId10"/>
    <sheet state="visible" name="Benchmarking" sheetId="8" r:id="rId11"/>
    <sheet state="visible" name="Capital Structure &amp; WCM" sheetId="9" r:id="rId12"/>
  </sheets>
  <definedNames/>
  <calcPr/>
</workbook>
</file>

<file path=xl/sharedStrings.xml><?xml version="1.0" encoding="utf-8"?>
<sst xmlns="http://schemas.openxmlformats.org/spreadsheetml/2006/main" count="385" uniqueCount="301">
  <si>
    <t>LLOYDS BANKING GROUP PLC – SOURCE DATA (£ MILLIONS)</t>
  </si>
  <si>
    <t>CONSOLIDATED INCOME STATEMENT</t>
  </si>
  <si>
    <t>Line Item</t>
  </si>
  <si>
    <t>2023</t>
  </si>
  <si>
    <t>2024</t>
  </si>
  <si>
    <t>2025</t>
  </si>
  <si>
    <t>Interest Income</t>
  </si>
  <si>
    <t>Interest Expense</t>
  </si>
  <si>
    <t>Net Interest Income</t>
  </si>
  <si>
    <t>Fee &amp; Commission Income</t>
  </si>
  <si>
    <t>Fee &amp; Commission Expense</t>
  </si>
  <si>
    <t>Net Fee &amp; Commission Income</t>
  </si>
  <si>
    <t>Net Trading Income</t>
  </si>
  <si>
    <t>Insurance Service Result</t>
  </si>
  <si>
    <t>Net Investment &amp; Finance Result</t>
  </si>
  <si>
    <t>Other Operating Income</t>
  </si>
  <si>
    <t>Other Income</t>
  </si>
  <si>
    <t>Total Income</t>
  </si>
  <si>
    <t>Operating Expenses</t>
  </si>
  <si>
    <t>Impairment Charge</t>
  </si>
  <si>
    <t>Profit Before Tax</t>
  </si>
  <si>
    <t>Tax Expense</t>
  </si>
  <si>
    <t>Profit After Tax (PAT)</t>
  </si>
  <si>
    <t>Profit Attributable to Ord. Shareholders</t>
  </si>
  <si>
    <t>CONSOLIDATED BALANCE SHEET</t>
  </si>
  <si>
    <t>Cash &amp; Central Bank Balances</t>
  </si>
  <si>
    <t>Financial Assets at FVTPL</t>
  </si>
  <si>
    <t>Derivative Financial Assets</t>
  </si>
  <si>
    <t>Loans &amp; Advances to Banks</t>
  </si>
  <si>
    <t>Loans &amp; Advances to Customers</t>
  </si>
  <si>
    <t>Reverse Repurchase Agreements</t>
  </si>
  <si>
    <t>Debt Securities (Amortised Cost)</t>
  </si>
  <si>
    <t>Financial Assets at Amortised Cost</t>
  </si>
  <si>
    <t>Financial Assets at FVOCI</t>
  </si>
  <si>
    <t>Goodwill &amp; Intangibles</t>
  </si>
  <si>
    <t>Deferred Tax Assets</t>
  </si>
  <si>
    <t>Other Assets</t>
  </si>
  <si>
    <t>Total Assets</t>
  </si>
  <si>
    <t>Customer Deposits</t>
  </si>
  <si>
    <t>Deposits from Banks</t>
  </si>
  <si>
    <t>Repurchase Agreements</t>
  </si>
  <si>
    <t>Debt Securities in Issue</t>
  </si>
  <si>
    <t>Subordinated Liabilities</t>
  </si>
  <si>
    <t>Insurance &amp; Investment Contract Liabs</t>
  </si>
  <si>
    <t>Non-participating Investment Contracts</t>
  </si>
  <si>
    <t>Provisions</t>
  </si>
  <si>
    <t>Other Liabilities</t>
  </si>
  <si>
    <t>Total Liabilities</t>
  </si>
  <si>
    <t>Ordinary Shareholders Equity</t>
  </si>
  <si>
    <t>Other Equity Instruments</t>
  </si>
  <si>
    <t>Non-Controlling Interests</t>
  </si>
  <si>
    <t>Total Equity</t>
  </si>
  <si>
    <t>Total Equity &amp; Liabilities</t>
  </si>
  <si>
    <t>CONSOLIDATED CASH FLOW STATEMENT</t>
  </si>
  <si>
    <t>Change in Operating Assets</t>
  </si>
  <si>
    <t>Change in Operating Liabilities</t>
  </si>
  <si>
    <t>Non-cash &amp; Other Items</t>
  </si>
  <si>
    <t>Tax Paid</t>
  </si>
  <si>
    <t>Tax Refunded</t>
  </si>
  <si>
    <t>Net Cash from Operating Activities</t>
  </si>
  <si>
    <t>Purchase of Financial Assets</t>
  </si>
  <si>
    <t>Proceeds from Sale/Maturity of Fin. Assets</t>
  </si>
  <si>
    <t>Purchase of PPE</t>
  </si>
  <si>
    <t>Purchase of Intangibles</t>
  </si>
  <si>
    <t>Proceeds from Sale of PPE</t>
  </si>
  <si>
    <t>Acquisitions (net of cash)</t>
  </si>
  <si>
    <t>Net Cash from Investing Activities</t>
  </si>
  <si>
    <t>Dividends to Ordinary Shareholders</t>
  </si>
  <si>
    <t>Distributions on OEI</t>
  </si>
  <si>
    <t>Distributions to NCI</t>
  </si>
  <si>
    <t>Interest on Subordinated Liabs</t>
  </si>
  <si>
    <t>Proceeds from Issue of Sub. Liabs</t>
  </si>
  <si>
    <t>Proceeds from Issue of OEI</t>
  </si>
  <si>
    <t>Proceeds from Issue of Ordinary Shares</t>
  </si>
  <si>
    <t>Share Buyback</t>
  </si>
  <si>
    <t>Repayment of Sub. Liabs</t>
  </si>
  <si>
    <t>Repurchases/Redemptions of OEI</t>
  </si>
  <si>
    <t>Net Cash from Financing Activities</t>
  </si>
  <si>
    <t>Exchange Rate Effects</t>
  </si>
  <si>
    <t>Net Change in Cash</t>
  </si>
  <si>
    <t>Opening Cash Balance</t>
  </si>
  <si>
    <t>Closing Cash Balance</t>
  </si>
  <si>
    <t>KEY REPORTED METRICS (As Disclosed in Annual Report)</t>
  </si>
  <si>
    <t>Metric</t>
  </si>
  <si>
    <t>Basic EPS (pence)</t>
  </si>
  <si>
    <t>Dividends Per Share - Ordinary (pence)</t>
  </si>
  <si>
    <t>Tangible Net Assets Per Share (pence)</t>
  </si>
  <si>
    <t>Banking Net Interest Margin (%)</t>
  </si>
  <si>
    <t>Reported RoTE (%)</t>
  </si>
  <si>
    <t>Cost:Income Ratio (Underlying, %)</t>
  </si>
  <si>
    <t>Asset Quality Ratio (%)</t>
  </si>
  <si>
    <t>CET1 Ratio - Statutory (%)</t>
  </si>
  <si>
    <t>Pro-Forma CET1 Ratio (%)</t>
  </si>
  <si>
    <t>UK Leverage Ratio (%)</t>
  </si>
  <si>
    <t>Loan to Deposit Ratio (%)</t>
  </si>
  <si>
    <t>Liquidity Coverage Ratio (%)</t>
  </si>
  <si>
    <t>Net Stable Funding Ratio (%)</t>
  </si>
  <si>
    <t>Risk-Weighted Assets (£bn)</t>
  </si>
  <si>
    <t>Underlying Loans &amp; Advances to Cust (£bn)</t>
  </si>
  <si>
    <t>Average Interest-Earning Banking Assets (£bn)</t>
  </si>
  <si>
    <t>Peer Average RoTE (%)</t>
  </si>
  <si>
    <t>Total Shareholder Return (%)</t>
  </si>
  <si>
    <t>WANOS - Basic (millions)</t>
  </si>
  <si>
    <t>PROFITABILITY RATIOS – LLOYDS BANKING GROUP PLC (2023–2025)</t>
  </si>
  <si>
    <t>Ratio</t>
  </si>
  <si>
    <t>Formula Used</t>
  </si>
  <si>
    <t>1. Return on Equity (RoE)</t>
  </si>
  <si>
    <t xml:space="preserve"> =pat / average ordinary shareholders' equity</t>
  </si>
  <si>
    <t>2. Return on Assets (RoA)</t>
  </si>
  <si>
    <t xml:space="preserve"> =pat / average total assets</t>
  </si>
  <si>
    <t>3. Return on Tangible Equity (RoTE) - Reported</t>
  </si>
  <si>
    <t xml:space="preserve"> =as disclosed in annual report (p.308 apm)</t>
  </si>
  <si>
    <t>4. Net Profit Margin</t>
  </si>
  <si>
    <t xml:space="preserve"> =pat / total income</t>
  </si>
  <si>
    <t>5. Pre-Tax Profit Margin</t>
  </si>
  <si>
    <t xml:space="preserve"> =pbt / total income</t>
  </si>
  <si>
    <t>6. Banking Net Interest Margin (NIM) - Reported</t>
  </si>
  <si>
    <t xml:space="preserve"> =nii / average interest-earning banking assets (apm)</t>
  </si>
  <si>
    <t>7. NIM Cross-Check (Statutory NII / Loans)</t>
  </si>
  <si>
    <t xml:space="preserve"> =net interest income / average loans to customers</t>
  </si>
  <si>
    <t>8. Cost:Income Ratio (Underlying) - Reported</t>
  </si>
  <si>
    <t xml:space="preserve"> =total underlying costs / underlying net income (apm, p.308)</t>
  </si>
  <si>
    <t>9. Cost:Income Ratio (Statutory)</t>
  </si>
  <si>
    <t xml:space="preserve"> =operating expenses / total income (statutory basis)</t>
  </si>
  <si>
    <t>10. Effective Tax Rate</t>
  </si>
  <si>
    <t xml:space="preserve"> =tax expense / profit before tax</t>
  </si>
  <si>
    <t>11. Asset Quality Ratio (AQR) - Reported</t>
  </si>
  <si>
    <t xml:space="preserve"> =impairment charge / average loans (apm)</t>
  </si>
  <si>
    <t>12. AQR Cross-Check (Statutory)</t>
  </si>
  <si>
    <t xml:space="preserve"> =impairment charge / average loans to customers</t>
  </si>
  <si>
    <t>LIQUIDITY RATIOS – LLOYDS BANKING GROUP PLC (2023–2025)</t>
  </si>
  <si>
    <t>Benchmark</t>
  </si>
  <si>
    <t>1. Loan-to-Deposit Ratio (LDR)</t>
  </si>
  <si>
    <t xml:space="preserve"> =loans &amp; advances to customers / customer deposits</t>
  </si>
  <si>
    <t>&lt;100% (PRA preference)</t>
  </si>
  <si>
    <t>2. Liquidity Coverage Ratio (LCR) - Reported</t>
  </si>
  <si>
    <t xml:space="preserve"> =hqla / 30-day net cash outflows under stress (apm, p.188)</t>
  </si>
  <si>
    <t>&gt;100% (CRD IV minimum)</t>
  </si>
  <si>
    <t>3. Net Stable Funding Ratio (NSFR) - Reported</t>
  </si>
  <si>
    <t xml:space="preserve"> =available stable funding / required stable funding (apm, p.188)</t>
  </si>
  <si>
    <t>N/A</t>
  </si>
  <si>
    <t>4. Cash &amp; Central Bank Balances (£m)</t>
  </si>
  <si>
    <t xml:space="preserve"> =cash held at central banks and in hand (balance sheet)</t>
  </si>
  <si>
    <t>LBG internal risk appetite</t>
  </si>
  <si>
    <t>5. Current Ratio Proxy (Liquid Assets / Deposits)</t>
  </si>
  <si>
    <t xml:space="preserve"> =(cash + fvtpl assets) / customer deposits</t>
  </si>
  <si>
    <t>&gt;50% (internal target)</t>
  </si>
  <si>
    <t>6. Wholesale Funding / Total Liabilities</t>
  </si>
  <si>
    <t xml:space="preserve"> =debt securities in issue / total liabilities</t>
  </si>
  <si>
    <t>Minimise (&lt; 15%)</t>
  </si>
  <si>
    <t>EFFICIENCY RATIOS – LLOYDS BANKING GROUP PLC (2023–2025)</t>
  </si>
  <si>
    <t>1. Cost:Income (Underlying APM) - Reported</t>
  </si>
  <si>
    <t xml:space="preserve"> =total underlying costs / underlying net income (apm)</t>
  </si>
  <si>
    <t>2. Cost:Income (Statutory)</t>
  </si>
  <si>
    <t xml:space="preserve"> =operating expenses / total income</t>
  </si>
  <si>
    <t>3. Operating Costs per £bn of Assets</t>
  </si>
  <si>
    <t xml:space="preserve"> =operating expenses (£m) / Total Assets (£bn) → £m/£bn)</t>
  </si>
  <si>
    <t>4. Asset Quality Ratio (Impairment / Avg Loans) - Calc.</t>
  </si>
  <si>
    <t xml:space="preserve"> =|impairment charge| / average loans &amp; advances to customers</t>
  </si>
  <si>
    <t>5. AQR - Reported APM</t>
  </si>
  <si>
    <t xml:space="preserve"> =as disclosed in annual report (apm, p.308)</t>
  </si>
  <si>
    <t>6. Income per Employee (proxy, £m per 1,000 staff)</t>
  </si>
  <si>
    <t xml:space="preserve"> =total income / 56 (thousands of employees, approx.)</t>
  </si>
  <si>
    <t>7. NII as % of Total Income</t>
  </si>
  <si>
    <t xml:space="preserve"> =net interest income / total income</t>
  </si>
  <si>
    <t>8. Other Income as % of Total Income</t>
  </si>
  <si>
    <t xml:space="preserve"> =other income / total income (income diversification)</t>
  </si>
  <si>
    <t>SOLVENCY RATIOS – LLOYDS BANKING GROUP PLC (2023–2025)</t>
  </si>
  <si>
    <t>Regulatory Min.</t>
  </si>
  <si>
    <t>1. CET1 Capital Ratio (Statutory) - Reported</t>
  </si>
  <si>
    <t xml:space="preserve"> =CET1 capital / risk-weighted assets (basel iii)</t>
  </si>
  <si>
    <t>≥4.5% (Basel III) / ~12% (PRA SREP incl. buffers)</t>
  </si>
  <si>
    <t>2. Pro-Forma CET1 Ratio - Reported</t>
  </si>
  <si>
    <t xml:space="preserve"> =CET1 post declared buyback/dividend (apm, p.308)</t>
  </si>
  <si>
    <t>LBG target: ~13.0% by end-2026</t>
  </si>
  <si>
    <t>3. UK Leverage Ratio - Reported</t>
  </si>
  <si>
    <t xml:space="preserve"> =tier 1 capital / total leverage exposure (uk crr)</t>
  </si>
  <si>
    <t>≥3.25% (PRA minimum)</t>
  </si>
  <si>
    <t>4. Debt-to-Equity Ratio (Total Liabilities / Total Equity)</t>
  </si>
  <si>
    <t xml:space="preserve"> =total liabilities / total equity</t>
  </si>
  <si>
    <t>High in banking (normal: 10-20x)</t>
  </si>
  <si>
    <t>5. Equity Multiplier (Total Assets / Total Equity)</t>
  </si>
  <si>
    <t xml:space="preserve"> =total assets / total equity (financial leverage)</t>
  </si>
  <si>
    <t>Normal for banks: 15-25x</t>
  </si>
  <si>
    <t>6. Tangible Equity / Total Assets</t>
  </si>
  <si>
    <t xml:space="preserve"> =(ordinary shareholders equity - goodwill) / total assets</t>
  </si>
  <si>
    <t>LBG internal capital adequacy</t>
  </si>
  <si>
    <t>7. Total Capital Adequacy (Equity / Assets) - Simple</t>
  </si>
  <si>
    <t xml:space="preserve"> =total equity / total assets</t>
  </si>
  <si>
    <t>Higher = more conservative</t>
  </si>
  <si>
    <t>INVESTOR RATIOS – LLOYDS BANKING GROUP PLC (2023–2025)</t>
  </si>
  <si>
    <t>1. Basic Earnings Per Share (EPS)</t>
  </si>
  <si>
    <t xml:space="preserve"> =profit attr. to ord. shareholders / wanos (note 31, p.287)</t>
  </si>
  <si>
    <t>2. EPS (Reported, pence) - Cross-check</t>
  </si>
  <si>
    <t xml:space="preserve"> =as disclosed in note 31 annual report</t>
  </si>
  <si>
    <t>3. Dividends Per Share (DPS) - Ordinary</t>
  </si>
  <si>
    <t xml:space="preserve"> =total declared ordinary dividend / shares (disclosed, p.19)</t>
  </si>
  <si>
    <t>4. Dividend Payout Ratio</t>
  </si>
  <si>
    <t xml:space="preserve"> =dps / eps (% of earnings paid as dividends)</t>
  </si>
  <si>
    <t>5. DPS Growth Year-on-Year</t>
  </si>
  <si>
    <t xml:space="preserve"> =(dps_t - dps_{t-1}) / dps_{t-1}</t>
  </si>
  <si>
    <t>6. Tangible Net Assets Per Share (TNAV) - Reported</t>
  </si>
  <si>
    <t xml:space="preserve"> =(ord. equity - intangibles) / shares in issue (apm, p.308)</t>
  </si>
  <si>
    <t>7. TNAV Per Share Growth Year-on-Year</t>
  </si>
  <si>
    <t xml:space="preserve"> =(tnav_t - tnav_{t-1}) / tnav_{t-1}</t>
  </si>
  <si>
    <t>8. Total Shareholder Return (in-year) - Reported</t>
  </si>
  <si>
    <t xml:space="preserve"> =(share price change + dividend) / opening share PRICE(p.19)</t>
  </si>
  <si>
    <t>9. Capital Return Yield (Dividends + Buybacks as % of equity)</t>
  </si>
  <si>
    <t xml:space="preserve"> =(ord. dividends + share buyback) / avg ord. shareholders equity</t>
  </si>
  <si>
    <t>10. Return on Tangible Equity (RoTE) vs Peer Average</t>
  </si>
  <si>
    <t xml:space="preserve"> =lbg rote minus peer average rote (outperformance)</t>
  </si>
  <si>
    <t>YEAR-ON-YEAR TREND ANALYSIS – LLOYDS BANKING GROUP PLC (2023–2025)</t>
  </si>
  <si>
    <t>YoY 23→24 Δ</t>
  </si>
  <si>
    <t>YoY 24→25 Δ</t>
  </si>
  <si>
    <t>Total Income (£m)</t>
  </si>
  <si>
    <t>Net Interest Income (£m)</t>
  </si>
  <si>
    <t>Other Income (£m)</t>
  </si>
  <si>
    <t>Operating Expenses (£m)</t>
  </si>
  <si>
    <t>Impairment Charge (£m)</t>
  </si>
  <si>
    <t>Profit Before Tax (£m)</t>
  </si>
  <si>
    <t>Profit After Tax (£m)</t>
  </si>
  <si>
    <t>Return on Equity (RoE)</t>
  </si>
  <si>
    <t>Return on Tangible Equity (RoTE)</t>
  </si>
  <si>
    <t>Net Profit Margin</t>
  </si>
  <si>
    <t>Banking NIM</t>
  </si>
  <si>
    <t>Cost:Income (Underlying)</t>
  </si>
  <si>
    <t>Asset Quality Ratio (AQR)</t>
  </si>
  <si>
    <t>Loan-to-Deposit Ratio (LDR)</t>
  </si>
  <si>
    <t>LCR</t>
  </si>
  <si>
    <t>CET1 Ratio (Statutory)</t>
  </si>
  <si>
    <t>Dividends Per Share (pence)</t>
  </si>
  <si>
    <t>Total Assets (£m)</t>
  </si>
  <si>
    <t>Loans &amp; Advances to Customers (£m)</t>
  </si>
  <si>
    <t>Customer Deposits (£m)</t>
  </si>
  <si>
    <t>COMPETITOR &amp; INDUSTRY BENCHMARKING – LBG vs UK BANKING PEERS (FY2025)</t>
  </si>
  <si>
    <t>Formula / Source</t>
  </si>
  <si>
    <t>LBG 2025</t>
  </si>
  <si>
    <t>Barclays ~2025</t>
  </si>
  <si>
    <t>NatWest ~2025</t>
  </si>
  <si>
    <t>HSBC ~2025</t>
  </si>
  <si>
    <t>Peer Average</t>
  </si>
  <si>
    <t>LBG vs Avg</t>
  </si>
  <si>
    <t>LBG: Raw Data KPIs | Peers: published results / LBG AR2025 p.138</t>
  </si>
  <si>
    <t>CET1 Capital Ratio</t>
  </si>
  <si>
    <t>LBG: Raw Data KPIs | Peers: company disclosures</t>
  </si>
  <si>
    <t>Cost:Income Ratio (Underlying / Adjusted)</t>
  </si>
  <si>
    <t>LBG: Raw Data KPIs | Peers: adjusted results</t>
  </si>
  <si>
    <t>Banking Net Interest Margin</t>
  </si>
  <si>
    <t>LBG: Raw Data KPIs | NatWest/Barclays: UK banking NIM; HSBC: global avg</t>
  </si>
  <si>
    <t>Loan-to-Deposit Ratio</t>
  </si>
  <si>
    <t>Dividend Per Share Growth (YoY %)</t>
  </si>
  <si>
    <t>LBG: Investor Ratios sheet | Peers: company announcements</t>
  </si>
  <si>
    <t>Total Shareholder Return (FY2025, %)</t>
  </si>
  <si>
    <t>LBG: Raw Data KPIs | Peers: Bloomberg/market data</t>
  </si>
  <si>
    <t>Asset Quality Ratio (AQR / credit loss rate)</t>
  </si>
  <si>
    <t>LBG: Raw Data KPIs | Peers: impairment charge / avg loans</t>
  </si>
  <si>
    <t>CAPITAL STRUCTURE &amp; WORKING CAPITAL MANAGEMENT – LLOYDS BANKING GROUP PLC</t>
  </si>
  <si>
    <t>A. CAPITAL STRUCTURE ANALYSIS</t>
  </si>
  <si>
    <t>Ordinary Shareholders' Equity (£m)</t>
  </si>
  <si>
    <t>Balance Sheet</t>
  </si>
  <si>
    <t>Other Equity Instruments / AT1 (£m)</t>
  </si>
  <si>
    <t>Subordinated Liabilities / Tier 2 (£m)</t>
  </si>
  <si>
    <t>Debt Securities in Issue (£m)</t>
  </si>
  <si>
    <t>Balance Sheet - wholesale funding</t>
  </si>
  <si>
    <t>Balance Sheet - retail funding</t>
  </si>
  <si>
    <t>Total Equity (£m)</t>
  </si>
  <si>
    <t>Total Liabilities (£m)</t>
  </si>
  <si>
    <t>Debt-to-Equity Ratio</t>
  </si>
  <si>
    <t>Equity Multiplier</t>
  </si>
  <si>
    <t xml:space="preserve"> =total assets / total equity</t>
  </si>
  <si>
    <t>Deposits as % of Total Funding</t>
  </si>
  <si>
    <t xml:space="preserve"> =customer deposits / (total liabilities + total equity)</t>
  </si>
  <si>
    <t xml:space="preserve"> =CET1 capital / risk-weighted assets (pra)</t>
  </si>
  <si>
    <t>Ordinary Dividends Paid (£m)</t>
  </si>
  <si>
    <t>Cash Flow Statement</t>
  </si>
  <si>
    <t>Share Buyback (£m)</t>
  </si>
  <si>
    <t>Total Capital Returns (Dividend + Buyback) (£m)</t>
  </si>
  <si>
    <t xml:space="preserve"> =|dividends| + |buyback|</t>
  </si>
  <si>
    <t>Capital Return as % of PAT</t>
  </si>
  <si>
    <t xml:space="preserve"> =total capital returns / profit after tax</t>
  </si>
  <si>
    <t>B. WORKING CAPITAL MANAGEMENT ANALYSIS</t>
  </si>
  <si>
    <t xml:space="preserve"> =loans &amp; advances / customer deposits</t>
  </si>
  <si>
    <t>Liquidity Coverage Ratio (LCR)</t>
  </si>
  <si>
    <t>Reported APM (p.188)</t>
  </si>
  <si>
    <t>Net Stable Funding Ratio (NSFR)</t>
  </si>
  <si>
    <t>Closing Cash Balance (£m)</t>
  </si>
  <si>
    <t>Net Cash from Operations (£m)</t>
  </si>
  <si>
    <t>Net Cash from Investing (£m)</t>
  </si>
  <si>
    <t>Net Cash from Financing (£m)</t>
  </si>
  <si>
    <t>Net Change in Cash (£m)</t>
  </si>
  <si>
    <t>Customer Deposit Growth (YoY)</t>
  </si>
  <si>
    <t xml:space="preserve"> =(deposits_t - deposits_{t-1}) / deposits_{t-1}</t>
  </si>
  <si>
    <t>Loan Portfolio Growth (YoY)</t>
  </si>
  <si>
    <t xml:space="preserve"> =(loans_t - loans_{t-1}) / loans_{t-1}</t>
  </si>
  <si>
    <t>Deposit-Loan Gap (£m, positive = deposit surplus)</t>
  </si>
  <si>
    <t xml:space="preserve"> =customer deposits - loans to customers</t>
  </si>
  <si>
    <t>Interest Received (£m)</t>
  </si>
  <si>
    <t>Cash Flow Note (p.217)</t>
  </si>
  <si>
    <t>Interest Paid (£m)</t>
  </si>
  <si>
    <t>Net Interest Spread (Received minus Paid, £m)</t>
  </si>
  <si>
    <t xml:space="preserve"> =interest received - interest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</si>
</sst>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8.0"/>
    <col customWidth="1" min="2" max="4" width="14.0"/>
    <col customWidth="1" min="5" max="11" width="8.71"/>
  </cols>
  <sheetData>
    <row r="1" ht="27.75" customHeight="1">
      <c r="A1" s="1" t="s">
        <v>0</v>
      </c>
    </row>
    <row r="2" ht="21.75" customHeight="1">
      <c r="A2" s="1"/>
    </row>
    <row r="4" ht="15.0" customHeight="1">
      <c r="A4" s="1" t="s">
        <v>1</v>
      </c>
    </row>
    <row r="5" ht="15.0" customHeight="1">
      <c r="A5" t="s">
        <v>2</v>
      </c>
      <c r="B5" t="s">
        <v>3</v>
      </c>
      <c r="C5" t="s">
        <v>4</v>
      </c>
      <c r="D5" t="s">
        <v>5</v>
      </c>
    </row>
    <row r="6" ht="15.0" customHeight="1">
      <c r="A6" t="s">
        <v>6</v>
      </c>
      <c r="B6">
        <v>28051.0</v>
      </c>
      <c r="C6">
        <v>31288.0</v>
      </c>
      <c r="D6">
        <v>30749.0</v>
      </c>
    </row>
    <row r="7" ht="15.0" customHeight="1">
      <c r="A7" t="s">
        <v>7</v>
      </c>
      <c r="B7">
        <v>-14753.0</v>
      </c>
      <c r="C7">
        <v>-19011.0</v>
      </c>
      <c r="D7">
        <v>-17519.0</v>
      </c>
    </row>
    <row r="8" ht="15.0" customHeight="1">
      <c r="A8" t="s">
        <v>8</v>
      </c>
      <c r="B8">
        <v>13298.0</v>
      </c>
      <c r="C8">
        <v>12277.0</v>
      </c>
      <c r="D8">
        <v>13230.0</v>
      </c>
    </row>
    <row r="9" ht="15.0" customHeight="1">
      <c r="A9" t="s">
        <v>9</v>
      </c>
      <c r="B9">
        <v>2926.0</v>
      </c>
      <c r="C9">
        <v>2943.0</v>
      </c>
      <c r="D9">
        <v>3118.0</v>
      </c>
    </row>
    <row r="10" ht="15.0" customHeight="1">
      <c r="A10" t="s">
        <v>10</v>
      </c>
      <c r="B10">
        <v>-1095.0</v>
      </c>
      <c r="C10">
        <v>-1184.0</v>
      </c>
      <c r="D10">
        <v>-1334.0</v>
      </c>
    </row>
    <row r="11" ht="15.0" customHeight="1">
      <c r="A11" t="s">
        <v>11</v>
      </c>
      <c r="B11">
        <v>1831.0</v>
      </c>
      <c r="C11">
        <v>1759.0</v>
      </c>
      <c r="D11">
        <v>1784.0</v>
      </c>
    </row>
    <row r="12" ht="15.0" customHeight="1">
      <c r="A12" t="s">
        <v>12</v>
      </c>
      <c r="B12">
        <v>1307.0</v>
      </c>
      <c r="C12">
        <v>1812.0</v>
      </c>
      <c r="D12">
        <v>1485.0</v>
      </c>
    </row>
    <row r="13" ht="15.0" customHeight="1">
      <c r="A13" t="s">
        <v>13</v>
      </c>
      <c r="B13">
        <v>596.0</v>
      </c>
      <c r="C13">
        <v>486.0</v>
      </c>
      <c r="D13">
        <v>756.0</v>
      </c>
    </row>
    <row r="14" ht="15.0" customHeight="1">
      <c r="A14" t="s">
        <v>14</v>
      </c>
      <c r="B14">
        <v>-34.0</v>
      </c>
      <c r="C14">
        <v>-265.0</v>
      </c>
      <c r="D14">
        <v>-200.0</v>
      </c>
    </row>
    <row r="15" ht="15.0" customHeight="1">
      <c r="A15" t="s">
        <v>15</v>
      </c>
      <c r="B15">
        <v>1631.0</v>
      </c>
      <c r="C15">
        <v>1934.0</v>
      </c>
      <c r="D15">
        <v>2367.0</v>
      </c>
    </row>
    <row r="16" ht="15.0" customHeight="1">
      <c r="A16" t="s">
        <v>16</v>
      </c>
      <c r="B16">
        <v>5331.0</v>
      </c>
      <c r="C16">
        <v>5726.0</v>
      </c>
      <c r="D16">
        <v>6192.0</v>
      </c>
    </row>
    <row r="17" ht="15.0" customHeight="1">
      <c r="A17" t="s">
        <v>17</v>
      </c>
      <c r="B17">
        <v>18629.0</v>
      </c>
      <c r="C17">
        <v>18003.0</v>
      </c>
      <c r="D17">
        <v>19422.0</v>
      </c>
    </row>
    <row r="18" ht="15.0" customHeight="1">
      <c r="A18" t="s">
        <v>18</v>
      </c>
      <c r="B18">
        <v>-10823.0</v>
      </c>
      <c r="C18">
        <v>-11601.0</v>
      </c>
      <c r="D18">
        <v>-11966.0</v>
      </c>
    </row>
    <row r="19" ht="15.0" customHeight="1">
      <c r="A19" t="s">
        <v>19</v>
      </c>
      <c r="B19">
        <v>-303.0</v>
      </c>
      <c r="C19">
        <v>-431.0</v>
      </c>
      <c r="D19">
        <v>-795.0</v>
      </c>
    </row>
    <row r="20" ht="15.0" customHeight="1">
      <c r="A20" t="s">
        <v>20</v>
      </c>
      <c r="B20">
        <v>7503.0</v>
      </c>
      <c r="C20">
        <v>5971.0</v>
      </c>
      <c r="D20">
        <v>6661.0</v>
      </c>
    </row>
    <row r="21" ht="15.0" customHeight="1">
      <c r="A21" t="s">
        <v>21</v>
      </c>
      <c r="B21">
        <v>-1985.0</v>
      </c>
      <c r="C21">
        <v>-1494.0</v>
      </c>
      <c r="D21">
        <v>-1904.0</v>
      </c>
    </row>
    <row r="22" ht="15.0" customHeight="1">
      <c r="A22" t="s">
        <v>22</v>
      </c>
      <c r="B22">
        <v>5518.0</v>
      </c>
      <c r="C22">
        <v>4477.0</v>
      </c>
      <c r="D22">
        <v>4757.0</v>
      </c>
    </row>
    <row r="23" ht="15.0" customHeight="1">
      <c r="A23" t="s">
        <v>23</v>
      </c>
      <c r="B23">
        <v>4933.0</v>
      </c>
      <c r="C23">
        <v>3923.0</v>
      </c>
      <c r="D23">
        <v>4196.0</v>
      </c>
    </row>
    <row r="24" ht="15.75" customHeight="1"/>
    <row r="25" ht="15.75" customHeight="1"/>
    <row r="26" ht="15.0" customHeight="1">
      <c r="A26" s="1" t="s">
        <v>24</v>
      </c>
    </row>
    <row r="27" ht="15.0" customHeight="1">
      <c r="A27" t="s">
        <v>2</v>
      </c>
      <c r="B27" t="s">
        <v>3</v>
      </c>
      <c r="C27" t="s">
        <v>4</v>
      </c>
      <c r="D27" t="s">
        <v>5</v>
      </c>
    </row>
    <row r="28" ht="15.0" customHeight="1">
      <c r="A28" t="s">
        <v>25</v>
      </c>
      <c r="C28">
        <v>62705.0</v>
      </c>
      <c r="D28">
        <v>56661.0</v>
      </c>
    </row>
    <row r="29" ht="15.0" customHeight="1">
      <c r="A29" t="s">
        <v>26</v>
      </c>
      <c r="C29">
        <v>215925.0</v>
      </c>
      <c r="D29">
        <v>240413.0</v>
      </c>
    </row>
    <row r="30" ht="15.0" customHeight="1">
      <c r="A30" t="s">
        <v>27</v>
      </c>
      <c r="C30">
        <v>24065.0</v>
      </c>
      <c r="D30">
        <v>19727.0</v>
      </c>
    </row>
    <row r="31" ht="15.0" customHeight="1">
      <c r="A31" t="s">
        <v>28</v>
      </c>
      <c r="C31">
        <v>7900.0</v>
      </c>
      <c r="D31">
        <v>7236.0</v>
      </c>
    </row>
    <row r="32" ht="15.0" customHeight="1">
      <c r="A32" t="s">
        <v>29</v>
      </c>
      <c r="B32">
        <v>459857.0</v>
      </c>
      <c r="C32">
        <v>459857.0</v>
      </c>
      <c r="D32">
        <v>481463.0</v>
      </c>
    </row>
    <row r="33" ht="15.0" customHeight="1">
      <c r="A33" t="s">
        <v>30</v>
      </c>
      <c r="C33">
        <v>49476.0</v>
      </c>
      <c r="D33">
        <v>50986.0</v>
      </c>
    </row>
    <row r="34" ht="15.0" customHeight="1">
      <c r="A34" t="s">
        <v>31</v>
      </c>
      <c r="C34">
        <v>14544.0</v>
      </c>
      <c r="D34">
        <v>13987.0</v>
      </c>
    </row>
    <row r="35" ht="15.0" customHeight="1">
      <c r="A35" t="s">
        <v>32</v>
      </c>
      <c r="C35">
        <v>531777.0</v>
      </c>
      <c r="D35">
        <v>553672.0</v>
      </c>
    </row>
    <row r="36" ht="15.0" customHeight="1">
      <c r="A36" t="s">
        <v>33</v>
      </c>
      <c r="C36">
        <v>30690.0</v>
      </c>
      <c r="D36">
        <v>36320.0</v>
      </c>
    </row>
    <row r="37" ht="15.0" customHeight="1">
      <c r="A37" t="s">
        <v>34</v>
      </c>
      <c r="C37">
        <v>8188.0</v>
      </c>
      <c r="D37">
        <v>8593.0</v>
      </c>
    </row>
    <row r="38" ht="15.0" customHeight="1">
      <c r="A38" t="s">
        <v>35</v>
      </c>
      <c r="C38">
        <v>5005.0</v>
      </c>
      <c r="D38">
        <v>3990.0</v>
      </c>
    </row>
    <row r="39" ht="15.0" customHeight="1">
      <c r="A39" t="s">
        <v>36</v>
      </c>
      <c r="C39">
        <v>24788.0</v>
      </c>
      <c r="D39">
        <v>20655.0</v>
      </c>
    </row>
    <row r="40" ht="15.0" customHeight="1">
      <c r="A40" t="s">
        <v>37</v>
      </c>
      <c r="B40">
        <v>889931.0</v>
      </c>
      <c r="C40">
        <v>906697.0</v>
      </c>
      <c r="D40">
        <v>944072.0</v>
      </c>
    </row>
    <row r="41" ht="15.0" customHeight="1"/>
    <row r="42" ht="15.0" customHeight="1">
      <c r="A42" t="s">
        <v>38</v>
      </c>
      <c r="B42">
        <v>490000.0</v>
      </c>
      <c r="C42">
        <v>482745.0</v>
      </c>
      <c r="D42">
        <v>496457.0</v>
      </c>
    </row>
    <row r="43" ht="15.0" customHeight="1">
      <c r="A43" t="s">
        <v>39</v>
      </c>
      <c r="C43">
        <v>6158.0</v>
      </c>
      <c r="D43">
        <v>5779.0</v>
      </c>
    </row>
    <row r="44" ht="15.0" customHeight="1">
      <c r="A44" t="s">
        <v>40</v>
      </c>
      <c r="C44">
        <v>37760.0</v>
      </c>
      <c r="D44">
        <v>38570.0</v>
      </c>
    </row>
    <row r="45" ht="15.0" customHeight="1">
      <c r="A45" t="s">
        <v>41</v>
      </c>
      <c r="C45">
        <v>70834.0</v>
      </c>
      <c r="D45">
        <v>78271.0</v>
      </c>
    </row>
    <row r="46" ht="15.0" customHeight="1">
      <c r="A46" t="s">
        <v>42</v>
      </c>
      <c r="C46">
        <v>10089.0</v>
      </c>
      <c r="D46">
        <v>9894.0</v>
      </c>
    </row>
    <row r="47" ht="15.0" customHeight="1">
      <c r="A47" t="s">
        <v>43</v>
      </c>
      <c r="C47">
        <v>122064.0</v>
      </c>
      <c r="D47">
        <v>135284.0</v>
      </c>
    </row>
    <row r="48" ht="15.0" customHeight="1">
      <c r="A48" t="s">
        <v>44</v>
      </c>
      <c r="C48">
        <v>51228.0</v>
      </c>
      <c r="D48">
        <v>61640.0</v>
      </c>
    </row>
    <row r="49" ht="15.0" customHeight="1">
      <c r="A49" t="s">
        <v>45</v>
      </c>
      <c r="C49">
        <v>2313.0</v>
      </c>
      <c r="D49">
        <v>2888.0</v>
      </c>
    </row>
    <row r="50" ht="15.0" customHeight="1">
      <c r="A50" t="s">
        <v>46</v>
      </c>
      <c r="C50">
        <v>60374.0</v>
      </c>
      <c r="D50">
        <v>67652.0</v>
      </c>
    </row>
    <row r="51" ht="15.0" customHeight="1">
      <c r="A51" t="s">
        <v>47</v>
      </c>
      <c r="B51">
        <v>842566.0</v>
      </c>
      <c r="C51">
        <v>860809.0</v>
      </c>
      <c r="D51">
        <v>896205.0</v>
      </c>
    </row>
    <row r="52" ht="15.0" customHeight="1"/>
    <row r="53" ht="15.0" customHeight="1">
      <c r="A53" t="s">
        <v>48</v>
      </c>
      <c r="B53">
        <v>47365.0</v>
      </c>
      <c r="C53">
        <v>39521.0</v>
      </c>
      <c r="D53">
        <v>41721.0</v>
      </c>
    </row>
    <row r="54" ht="15.0" customHeight="1">
      <c r="A54" t="s">
        <v>49</v>
      </c>
      <c r="B54">
        <v>6940.0</v>
      </c>
      <c r="C54">
        <v>6195.0</v>
      </c>
      <c r="D54">
        <v>5947.0</v>
      </c>
    </row>
    <row r="55" ht="15.0" customHeight="1">
      <c r="A55" t="s">
        <v>50</v>
      </c>
      <c r="B55">
        <v>201.0</v>
      </c>
      <c r="C55">
        <v>172.0</v>
      </c>
      <c r="D55">
        <v>199.0</v>
      </c>
    </row>
    <row r="56" ht="15.0" customHeight="1">
      <c r="A56" t="s">
        <v>51</v>
      </c>
      <c r="B56">
        <v>47365.0</v>
      </c>
      <c r="C56">
        <v>45888.0</v>
      </c>
      <c r="D56">
        <v>47867.0</v>
      </c>
    </row>
    <row r="57" ht="15.0" customHeight="1">
      <c r="A57" t="s">
        <v>52</v>
      </c>
      <c r="B57">
        <v>889931.0</v>
      </c>
      <c r="C57">
        <v>906697.0</v>
      </c>
      <c r="D57">
        <v>944072.0</v>
      </c>
    </row>
    <row r="58" ht="15.75" customHeight="1"/>
    <row r="59" ht="15.75" customHeight="1"/>
    <row r="60" ht="15.0" customHeight="1">
      <c r="A60" s="1" t="s">
        <v>53</v>
      </c>
    </row>
    <row r="61" ht="15.0" customHeight="1">
      <c r="A61" t="s">
        <v>2</v>
      </c>
      <c r="B61" t="s">
        <v>3</v>
      </c>
      <c r="C61" t="s">
        <v>4</v>
      </c>
      <c r="D61" t="s">
        <v>5</v>
      </c>
    </row>
    <row r="62" ht="15.0" customHeight="1">
      <c r="A62" t="s">
        <v>20</v>
      </c>
      <c r="B62">
        <v>7503.0</v>
      </c>
      <c r="C62">
        <v>5971.0</v>
      </c>
      <c r="D62">
        <v>6661.0</v>
      </c>
    </row>
    <row r="63" ht="15.0" customHeight="1">
      <c r="A63" t="s">
        <v>54</v>
      </c>
      <c r="B63">
        <v>-9110.0</v>
      </c>
      <c r="C63">
        <v>-39622.0</v>
      </c>
      <c r="D63">
        <v>-40689.0</v>
      </c>
    </row>
    <row r="64" ht="15.0" customHeight="1">
      <c r="A64" t="s">
        <v>55</v>
      </c>
      <c r="B64">
        <v>4232.0</v>
      </c>
      <c r="C64">
        <v>23603.0</v>
      </c>
      <c r="D64">
        <v>35403.0</v>
      </c>
    </row>
    <row r="65" ht="15.0" customHeight="1">
      <c r="A65" t="s">
        <v>56</v>
      </c>
      <c r="B65">
        <v>5622.0</v>
      </c>
      <c r="C65">
        <v>5990.0</v>
      </c>
      <c r="D65">
        <v>6431.0</v>
      </c>
    </row>
    <row r="66" ht="15.0" customHeight="1">
      <c r="A66" t="s">
        <v>57</v>
      </c>
      <c r="B66">
        <v>-1437.0</v>
      </c>
      <c r="C66">
        <v>-1305.0</v>
      </c>
      <c r="D66">
        <v>-2305.0</v>
      </c>
    </row>
    <row r="67" ht="15.0" customHeight="1">
      <c r="A67" t="s">
        <v>58</v>
      </c>
      <c r="B67">
        <v>0.0</v>
      </c>
      <c r="C67">
        <v>970.0</v>
      </c>
      <c r="D67">
        <v>200.0</v>
      </c>
    </row>
    <row r="68" ht="15.0" customHeight="1">
      <c r="A68" t="s">
        <v>59</v>
      </c>
      <c r="B68">
        <v>6810.0</v>
      </c>
      <c r="C68">
        <v>-4393.0</v>
      </c>
      <c r="D68">
        <v>5701.0</v>
      </c>
    </row>
    <row r="69" ht="15.0" customHeight="1">
      <c r="A69" t="s">
        <v>60</v>
      </c>
      <c r="B69">
        <v>-10311.0</v>
      </c>
      <c r="C69">
        <v>-10518.0</v>
      </c>
      <c r="D69">
        <v>-19762.0</v>
      </c>
    </row>
    <row r="70" ht="15.0" customHeight="1">
      <c r="A70" t="s">
        <v>61</v>
      </c>
      <c r="B70">
        <v>5298.0</v>
      </c>
      <c r="C70">
        <v>7062.0</v>
      </c>
      <c r="D70">
        <v>14309.0</v>
      </c>
    </row>
    <row r="71" ht="15.0" customHeight="1">
      <c r="A71" t="s">
        <v>62</v>
      </c>
      <c r="B71">
        <v>-3961.0</v>
      </c>
      <c r="C71">
        <v>-4364.0</v>
      </c>
      <c r="D71">
        <v>-5071.0</v>
      </c>
    </row>
    <row r="72" ht="15.0" customHeight="1">
      <c r="A72" t="s">
        <v>63</v>
      </c>
      <c r="B72">
        <v>-1494.0</v>
      </c>
      <c r="C72">
        <v>-1259.0</v>
      </c>
      <c r="D72">
        <v>-1252.0</v>
      </c>
    </row>
    <row r="73" ht="15.0" customHeight="1">
      <c r="A73" t="s">
        <v>64</v>
      </c>
      <c r="B73">
        <v>1027.0</v>
      </c>
      <c r="C73">
        <v>1505.0</v>
      </c>
      <c r="D73">
        <v>1560.0</v>
      </c>
    </row>
    <row r="74" ht="15.0" customHeight="1">
      <c r="A74" t="s">
        <v>65</v>
      </c>
      <c r="B74">
        <v>-380.0</v>
      </c>
      <c r="C74">
        <v>-179.0</v>
      </c>
      <c r="D74">
        <v>27.0</v>
      </c>
    </row>
    <row r="75" ht="15.0" customHeight="1">
      <c r="A75" t="s">
        <v>66</v>
      </c>
      <c r="B75">
        <v>-9821.0</v>
      </c>
      <c r="C75">
        <v>-7691.0</v>
      </c>
      <c r="D75">
        <v>-10189.0</v>
      </c>
    </row>
    <row r="76" ht="15.0" customHeight="1">
      <c r="A76" t="s">
        <v>67</v>
      </c>
      <c r="B76">
        <v>-1651.0</v>
      </c>
      <c r="C76">
        <v>-1828.0</v>
      </c>
      <c r="D76">
        <v>-2000.0</v>
      </c>
    </row>
    <row r="77" ht="15.0" customHeight="1">
      <c r="A77" t="s">
        <v>68</v>
      </c>
      <c r="B77">
        <v>-527.0</v>
      </c>
      <c r="C77">
        <v>-498.0</v>
      </c>
      <c r="D77">
        <v>-463.0</v>
      </c>
    </row>
    <row r="78" ht="15.0" customHeight="1">
      <c r="A78" t="s">
        <v>69</v>
      </c>
      <c r="B78">
        <v>-101.0</v>
      </c>
      <c r="C78">
        <v>-83.0</v>
      </c>
      <c r="D78">
        <v>-51.0</v>
      </c>
    </row>
    <row r="79" ht="15.0" customHeight="1">
      <c r="A79" t="s">
        <v>70</v>
      </c>
      <c r="B79">
        <v>-623.0</v>
      </c>
      <c r="C79">
        <v>-622.0</v>
      </c>
      <c r="D79">
        <v>-806.0</v>
      </c>
    </row>
    <row r="80" ht="15.0" customHeight="1">
      <c r="A80" t="s">
        <v>71</v>
      </c>
      <c r="B80">
        <v>1417.0</v>
      </c>
      <c r="C80">
        <v>812.0</v>
      </c>
      <c r="D80">
        <v>1757.0</v>
      </c>
    </row>
    <row r="81" ht="15.0" customHeight="1">
      <c r="A81" t="s">
        <v>72</v>
      </c>
      <c r="B81">
        <v>1772.0</v>
      </c>
      <c r="C81">
        <v>757.0</v>
      </c>
      <c r="D81">
        <v>1504.0</v>
      </c>
    </row>
    <row r="82" ht="15.0" customHeight="1">
      <c r="A82" t="s">
        <v>73</v>
      </c>
      <c r="B82">
        <v>86.0</v>
      </c>
      <c r="C82">
        <v>187.0</v>
      </c>
      <c r="D82">
        <v>99.0</v>
      </c>
    </row>
    <row r="83" ht="15.0" customHeight="1">
      <c r="A83" t="s">
        <v>74</v>
      </c>
      <c r="B83">
        <v>-1993.0</v>
      </c>
      <c r="C83">
        <v>-2011.0</v>
      </c>
      <c r="D83">
        <v>-1710.0</v>
      </c>
    </row>
    <row r="84" ht="15.0" customHeight="1">
      <c r="A84" t="s">
        <v>75</v>
      </c>
      <c r="B84">
        <v>-1745.0</v>
      </c>
      <c r="C84">
        <v>-819.0</v>
      </c>
      <c r="D84">
        <v>-1928.0</v>
      </c>
    </row>
    <row r="85" ht="15.0" customHeight="1">
      <c r="A85" t="s">
        <v>76</v>
      </c>
      <c r="B85">
        <v>-135.0</v>
      </c>
      <c r="C85">
        <v>-1824.0</v>
      </c>
      <c r="D85">
        <v>-1759.0</v>
      </c>
    </row>
    <row r="86" ht="15.0" customHeight="1">
      <c r="A86" t="s">
        <v>77</v>
      </c>
      <c r="B86">
        <v>-3500.0</v>
      </c>
      <c r="C86">
        <v>-5931.0</v>
      </c>
      <c r="D86">
        <v>-5357.0</v>
      </c>
    </row>
    <row r="87" ht="15.0" customHeight="1">
      <c r="A87" t="s">
        <v>78</v>
      </c>
      <c r="B87">
        <v>-480.0</v>
      </c>
      <c r="C87">
        <v>-7.0</v>
      </c>
      <c r="D87">
        <v>-378.0</v>
      </c>
    </row>
    <row r="88" ht="15.0" customHeight="1">
      <c r="A88" t="s">
        <v>79</v>
      </c>
      <c r="B88">
        <v>-6991.0</v>
      </c>
      <c r="C88">
        <v>-18022.0</v>
      </c>
      <c r="D88">
        <v>-10223.0</v>
      </c>
    </row>
    <row r="89" ht="15.0" customHeight="1">
      <c r="A89" t="s">
        <v>80</v>
      </c>
      <c r="B89">
        <v>95829.0</v>
      </c>
      <c r="C89">
        <v>88838.0</v>
      </c>
      <c r="D89">
        <v>70816.0</v>
      </c>
    </row>
    <row r="90" ht="15.0" customHeight="1">
      <c r="A90" t="s">
        <v>81</v>
      </c>
      <c r="B90">
        <v>88838.0</v>
      </c>
      <c r="C90">
        <v>70816.0</v>
      </c>
      <c r="D90">
        <v>60593.0</v>
      </c>
    </row>
    <row r="91" ht="15.75" customHeight="1"/>
    <row r="92" ht="15.75" customHeight="1"/>
    <row r="93" ht="15.0" customHeight="1">
      <c r="A93" s="1" t="s">
        <v>82</v>
      </c>
    </row>
    <row r="94" ht="15.0" customHeight="1">
      <c r="A94" t="s">
        <v>83</v>
      </c>
      <c r="B94" t="s">
        <v>3</v>
      </c>
      <c r="C94" t="s">
        <v>4</v>
      </c>
      <c r="D94" t="s">
        <v>5</v>
      </c>
    </row>
    <row r="95" ht="15.0" customHeight="1">
      <c r="A95" t="s">
        <v>84</v>
      </c>
      <c r="B95">
        <v>0.076</v>
      </c>
      <c r="C95">
        <v>0.063</v>
      </c>
      <c r="D95">
        <v>0.07</v>
      </c>
    </row>
    <row r="96" ht="15.0" customHeight="1">
      <c r="A96" t="s">
        <v>85</v>
      </c>
      <c r="B96">
        <v>0.0276</v>
      </c>
      <c r="C96">
        <v>0.0317</v>
      </c>
      <c r="D96">
        <v>0.0365</v>
      </c>
    </row>
    <row r="97" ht="15.0" customHeight="1">
      <c r="A97" t="s">
        <v>86</v>
      </c>
      <c r="C97">
        <v>0.524</v>
      </c>
      <c r="D97">
        <v>0.57</v>
      </c>
    </row>
    <row r="98" ht="15.0" customHeight="1">
      <c r="A98" t="s">
        <v>87</v>
      </c>
      <c r="B98">
        <v>0.0322</v>
      </c>
      <c r="C98">
        <v>0.0295</v>
      </c>
      <c r="D98">
        <v>0.0306</v>
      </c>
    </row>
    <row r="99" ht="15.0" customHeight="1">
      <c r="A99" t="s">
        <v>88</v>
      </c>
      <c r="B99">
        <v>0.158</v>
      </c>
      <c r="C99">
        <v>0.123</v>
      </c>
      <c r="D99">
        <v>0.129</v>
      </c>
    </row>
    <row r="100" ht="15.0" customHeight="1">
      <c r="A100" t="s">
        <v>89</v>
      </c>
      <c r="B100">
        <v>0.581</v>
      </c>
      <c r="C100">
        <v>0.604</v>
      </c>
      <c r="D100">
        <v>0.586</v>
      </c>
    </row>
    <row r="101" ht="15.0" customHeight="1">
      <c r="A101" t="s">
        <v>90</v>
      </c>
      <c r="B101">
        <v>7.0E-4</v>
      </c>
      <c r="C101">
        <v>0.001</v>
      </c>
      <c r="D101">
        <v>0.0017</v>
      </c>
    </row>
    <row r="102" ht="15.0" customHeight="1">
      <c r="A102" t="s">
        <v>91</v>
      </c>
      <c r="B102">
        <v>0.137</v>
      </c>
      <c r="C102">
        <v>0.142</v>
      </c>
      <c r="D102">
        <v>0.14</v>
      </c>
    </row>
    <row r="103" ht="15.0" customHeight="1">
      <c r="A103" t="s">
        <v>92</v>
      </c>
      <c r="B103">
        <v>0.137</v>
      </c>
      <c r="C103">
        <v>0.135</v>
      </c>
      <c r="D103">
        <v>0.132</v>
      </c>
    </row>
    <row r="104" ht="15.0" customHeight="1">
      <c r="A104" t="s">
        <v>93</v>
      </c>
      <c r="C104">
        <v>0.055</v>
      </c>
      <c r="D104">
        <v>0.054</v>
      </c>
    </row>
    <row r="105" ht="15.0" customHeight="1">
      <c r="A105" t="s">
        <v>94</v>
      </c>
      <c r="B105">
        <v>0.939</v>
      </c>
      <c r="C105">
        <v>0.953</v>
      </c>
      <c r="D105">
        <v>0.97</v>
      </c>
    </row>
    <row r="106" ht="15.0" customHeight="1">
      <c r="A106" t="s">
        <v>95</v>
      </c>
      <c r="B106">
        <v>1.5</v>
      </c>
      <c r="C106">
        <v>1.46</v>
      </c>
      <c r="D106">
        <v>1.45</v>
      </c>
    </row>
    <row r="107" ht="15.0" customHeight="1">
      <c r="A107" t="s">
        <v>96</v>
      </c>
      <c r="C107">
        <v>1.29</v>
      </c>
      <c r="D107">
        <v>1.24</v>
      </c>
    </row>
    <row r="108" ht="15.0" customHeight="1">
      <c r="A108" t="s">
        <v>97</v>
      </c>
      <c r="C108">
        <v>224.6</v>
      </c>
      <c r="D108">
        <v>235.5</v>
      </c>
    </row>
    <row r="109" ht="15.0" customHeight="1">
      <c r="A109" t="s">
        <v>98</v>
      </c>
      <c r="C109">
        <v>459.1</v>
      </c>
      <c r="D109">
        <v>481.1</v>
      </c>
    </row>
    <row r="110" ht="23.25" customHeight="1">
      <c r="A110" t="s">
        <v>99</v>
      </c>
      <c r="C110">
        <v>451.2</v>
      </c>
      <c r="D110">
        <v>462.9</v>
      </c>
    </row>
    <row r="111" ht="15.0" customHeight="1">
      <c r="A111" t="s">
        <v>100</v>
      </c>
      <c r="B111">
        <v>0.119</v>
      </c>
      <c r="C111">
        <v>0.116</v>
      </c>
      <c r="D111">
        <v>0.118</v>
      </c>
    </row>
    <row r="112" ht="15.0" customHeight="1">
      <c r="A112" t="s">
        <v>101</v>
      </c>
      <c r="B112">
        <v>0.109</v>
      </c>
      <c r="C112">
        <v>0.212</v>
      </c>
      <c r="D112">
        <v>0.879</v>
      </c>
    </row>
    <row r="113" ht="15.0" customHeight="1">
      <c r="A113" t="s">
        <v>102</v>
      </c>
      <c r="B113">
        <v>64953.0</v>
      </c>
      <c r="C113">
        <v>62413.0</v>
      </c>
      <c r="D113">
        <v>59790.0</v>
      </c>
    </row>
    <row r="114" ht="15.75" customHeight="1"/>
    <row r="115" ht="15.75" customHeight="1"/>
    <row r="116" ht="21.75" customHeight="1">
      <c r="A116" s="1"/>
    </row>
  </sheetData>
  <mergeCells count="7">
    <mergeCell ref="A93:D93"/>
    <mergeCell ref="A116:D116"/>
    <mergeCell ref="A1:D1"/>
    <mergeCell ref="A2:D2"/>
    <mergeCell ref="A4:D4"/>
    <mergeCell ref="A26:D26"/>
    <mergeCell ref="A60:D6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2" width="42.0"/>
    <col customWidth="1" min="3" max="5" width="13.0"/>
    <col customWidth="1" min="6" max="11" width="8.71"/>
  </cols>
  <sheetData>
    <row r="1" ht="25.5" customHeight="1">
      <c r="A1" s="1" t="s">
        <v>103</v>
      </c>
    </row>
    <row r="2" ht="15.0" customHeight="1">
      <c r="A2" s="1"/>
    </row>
    <row r="4" ht="15.0" customHeight="1">
      <c r="A4" t="s">
        <v>104</v>
      </c>
      <c r="B4" t="s">
        <v>105</v>
      </c>
      <c r="C4" t="s">
        <v>3</v>
      </c>
      <c r="D4" t="s">
        <v>4</v>
      </c>
      <c r="E4" t="s">
        <v>5</v>
      </c>
    </row>
    <row r="5" ht="15.0" customHeight="1">
      <c r="A5" t="s">
        <v>106</v>
      </c>
      <c r="B5" t="s">
        <v>107</v>
      </c>
      <c r="C5" t="str">
        <f>'Raw Data'!B22/(('Raw Data'!B53+'Raw Data'!B53)/2)</f>
        <v>0.116499525</v>
      </c>
      <c r="D5" t="str">
        <f>'Raw Data'!C22/(('Raw Data'!C53+'Raw Data'!B53)/2)</f>
        <v>0.1030545773</v>
      </c>
      <c r="E5" t="str">
        <f>'Raw Data'!D22/(('Raw Data'!D53+'Raw Data'!C53)/2)</f>
        <v>0.1171069151</v>
      </c>
    </row>
    <row r="6" ht="15.0" customHeight="1">
      <c r="A6" t="s">
        <v>108</v>
      </c>
      <c r="B6" t="s">
        <v>109</v>
      </c>
      <c r="C6" t="str">
        <f>'Raw Data'!B22/(('Raw Data'!B40+'Raw Data'!B40)/2)</f>
        <v>0.006200480711</v>
      </c>
      <c r="D6" t="str">
        <f>'Raw Data'!C22/(('Raw Data'!C40+'Raw Data'!B40)/2)</f>
        <v>0.004983780727</v>
      </c>
      <c r="E6" t="str">
        <f>'Raw Data'!D22/(('Raw Data'!D40+'Raw Data'!C40)/2)</f>
        <v>0.005140565895</v>
      </c>
    </row>
    <row r="7" ht="23.25" customHeight="1">
      <c r="A7" t="s">
        <v>110</v>
      </c>
      <c r="B7" t="s">
        <v>111</v>
      </c>
      <c r="C7" t="str">
        <f>'Raw Data'!B99</f>
        <v>0.158</v>
      </c>
      <c r="D7" t="str">
        <f>'Raw Data'!C99</f>
        <v>0.123</v>
      </c>
      <c r="E7" t="str">
        <f>'Raw Data'!D99</f>
        <v>0.129</v>
      </c>
    </row>
    <row r="8" ht="15.0" customHeight="1">
      <c r="A8" t="s">
        <v>112</v>
      </c>
      <c r="B8" t="s">
        <v>113</v>
      </c>
      <c r="C8" t="str">
        <f>'Raw Data'!B22/'Raw Data'!B17</f>
        <v>0.2962048419</v>
      </c>
      <c r="D8" t="str">
        <f>'Raw Data'!C22/'Raw Data'!C17</f>
        <v>0.2486807754</v>
      </c>
      <c r="E8" t="str">
        <f>'Raw Data'!D22/'Raw Data'!D17</f>
        <v>0.2449284317</v>
      </c>
    </row>
    <row r="9" ht="15.0" customHeight="1">
      <c r="A9" t="s">
        <v>114</v>
      </c>
      <c r="B9" t="s">
        <v>115</v>
      </c>
      <c r="C9" t="str">
        <f>'Raw Data'!B20/'Raw Data'!B17</f>
        <v>0.402759139</v>
      </c>
      <c r="D9" t="str">
        <f>'Raw Data'!C20/'Raw Data'!C17</f>
        <v>0.3316669444</v>
      </c>
      <c r="E9" t="str">
        <f>'Raw Data'!D20/'Raw Data'!D17</f>
        <v>0.3429615899</v>
      </c>
    </row>
    <row r="10" ht="23.25" customHeight="1">
      <c r="A10" t="s">
        <v>116</v>
      </c>
      <c r="B10" t="s">
        <v>117</v>
      </c>
      <c r="C10" t="str">
        <f>'Raw Data'!B98</f>
        <v>0.0322</v>
      </c>
      <c r="D10" t="str">
        <f>'Raw Data'!C98</f>
        <v>0.0295</v>
      </c>
      <c r="E10" t="str">
        <f>'Raw Data'!D98</f>
        <v>0.0306</v>
      </c>
    </row>
    <row r="11" ht="15.0" customHeight="1">
      <c r="A11" t="s">
        <v>118</v>
      </c>
      <c r="B11" t="s">
        <v>119</v>
      </c>
      <c r="C11" t="str">
        <f>'Raw Data'!B8/(('Raw Data'!B32+'Raw Data'!B32)/2)</f>
        <v>0.02891768528</v>
      </c>
      <c r="D11" t="str">
        <f>'Raw Data'!C8/(('Raw Data'!C32+'Raw Data'!B32)/2)</f>
        <v>0.02669742985</v>
      </c>
      <c r="E11" t="str">
        <f>'Raw Data'!D8/(('Raw Data'!D32+'Raw Data'!C32)/2)</f>
        <v>0.02810946331</v>
      </c>
    </row>
    <row r="12" ht="23.25" customHeight="1">
      <c r="A12" t="s">
        <v>120</v>
      </c>
      <c r="B12" t="s">
        <v>121</v>
      </c>
      <c r="C12" t="str">
        <f>'Raw Data'!B100</f>
        <v>0.581</v>
      </c>
      <c r="D12" t="str">
        <f>'Raw Data'!C100</f>
        <v>0.604</v>
      </c>
      <c r="E12" t="str">
        <f>'Raw Data'!D100</f>
        <v>0.586</v>
      </c>
    </row>
    <row r="13" ht="15.0" customHeight="1">
      <c r="A13" t="s">
        <v>122</v>
      </c>
      <c r="B13" t="s">
        <v>123</v>
      </c>
      <c r="C13" t="str">
        <f>-'Raw Data'!B18/'Raw Data'!B17</f>
        <v>0.5809758978</v>
      </c>
      <c r="D13" t="str">
        <f>-'Raw Data'!C18/'Raw Data'!C17</f>
        <v>0.6443926012</v>
      </c>
      <c r="E13" t="str">
        <f>-'Raw Data'!D18/'Raw Data'!D17</f>
        <v>0.6161054474</v>
      </c>
    </row>
    <row r="14" ht="15.0" customHeight="1">
      <c r="A14" t="s">
        <v>124</v>
      </c>
      <c r="B14" t="s">
        <v>125</v>
      </c>
      <c r="C14" t="str">
        <f>-'Raw Data'!B21/'Raw Data'!B20</f>
        <v>0.2645608423</v>
      </c>
      <c r="D14" t="str">
        <f>-'Raw Data'!C21/'Raw Data'!C20</f>
        <v>0.2502093452</v>
      </c>
      <c r="E14" t="str">
        <f>-'Raw Data'!D21/'Raw Data'!D20</f>
        <v>0.2858429665</v>
      </c>
    </row>
    <row r="15" ht="15.0" customHeight="1">
      <c r="A15" t="s">
        <v>126</v>
      </c>
      <c r="B15" t="s">
        <v>127</v>
      </c>
      <c r="C15" t="str">
        <f>'Raw Data'!B101</f>
        <v>0.0007</v>
      </c>
      <c r="D15" t="str">
        <f>'Raw Data'!C101</f>
        <v>0.001</v>
      </c>
      <c r="E15" t="str">
        <f>'Raw Data'!D101</f>
        <v>0.0017</v>
      </c>
    </row>
    <row r="16" ht="15.0" customHeight="1">
      <c r="A16" t="s">
        <v>128</v>
      </c>
      <c r="B16" t="s">
        <v>129</v>
      </c>
      <c r="C16" t="str">
        <f>-'Raw Data'!B19/(('Raw Data'!B32+'Raw Data'!B32)/2)</f>
        <v>0.0006589004843</v>
      </c>
      <c r="D16" t="str">
        <f>-'Raw Data'!C19/(('Raw Data'!C32+'Raw Data'!B32)/2)</f>
        <v>0.0009372478836</v>
      </c>
      <c r="E16" t="str">
        <f>-'Raw Data'!D19/(('Raw Data'!D32+'Raw Data'!C32)/2)</f>
        <v>0.00168911741</v>
      </c>
    </row>
    <row r="18" ht="32.25" customHeight="1">
      <c r="A18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E1"/>
    <mergeCell ref="A2:E2"/>
    <mergeCell ref="A18:E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6" width="13.0"/>
    <col customWidth="1" min="7" max="11" width="8.71"/>
  </cols>
  <sheetData>
    <row r="1" ht="25.5" customHeight="1">
      <c r="A1" s="1" t="s">
        <v>130</v>
      </c>
    </row>
    <row r="2" ht="15.0" customHeight="1">
      <c r="A2" s="1"/>
    </row>
    <row r="4" ht="15.0" customHeight="1">
      <c r="A4" t="s">
        <v>104</v>
      </c>
      <c r="B4" t="s">
        <v>105</v>
      </c>
      <c r="C4" t="s">
        <v>3</v>
      </c>
      <c r="D4" t="s">
        <v>4</v>
      </c>
      <c r="E4" t="s">
        <v>5</v>
      </c>
      <c r="F4" t="s">
        <v>131</v>
      </c>
    </row>
    <row r="5" ht="23.25" customHeight="1">
      <c r="A5" t="s">
        <v>132</v>
      </c>
      <c r="B5" t="s">
        <v>133</v>
      </c>
      <c r="C5" t="str">
        <f>'Raw Data'!B32/'Raw Data'!B42</f>
        <v>0.9384836735</v>
      </c>
      <c r="D5" t="str">
        <f>'Raw Data'!C32/'Raw Data'!C42</f>
        <v>0.9525878052</v>
      </c>
      <c r="E5" t="str">
        <f>'Raw Data'!D32/'Raw Data'!D42</f>
        <v>0.9697979885</v>
      </c>
      <c r="F5" t="s">
        <v>134</v>
      </c>
    </row>
    <row r="6" ht="23.25" customHeight="1">
      <c r="A6" t="s">
        <v>135</v>
      </c>
      <c r="B6" t="s">
        <v>136</v>
      </c>
      <c r="C6" t="str">
        <f>'Raw Data'!B106</f>
        <v>1.5</v>
      </c>
      <c r="D6" t="str">
        <f>'Raw Data'!C106</f>
        <v>1.46</v>
      </c>
      <c r="E6" t="str">
        <f>'Raw Data'!D106</f>
        <v>1.45</v>
      </c>
      <c r="F6" t="s">
        <v>137</v>
      </c>
    </row>
    <row r="7" ht="23.25" customHeight="1">
      <c r="A7" t="s">
        <v>138</v>
      </c>
      <c r="B7" t="s">
        <v>139</v>
      </c>
      <c r="C7" t="s">
        <v>140</v>
      </c>
      <c r="D7" t="str">
        <f>'Raw Data'!C107</f>
        <v>1.29</v>
      </c>
      <c r="E7" t="str">
        <f>'Raw Data'!D107</f>
        <v>1.24</v>
      </c>
      <c r="F7" t="s">
        <v>137</v>
      </c>
    </row>
    <row r="8" ht="23.25" customHeight="1">
      <c r="A8" t="s">
        <v>141</v>
      </c>
      <c r="B8" t="s">
        <v>142</v>
      </c>
      <c r="C8" t="s">
        <v>140</v>
      </c>
      <c r="D8" t="str">
        <f>'Raw Data'!C28</f>
        <v>62705</v>
      </c>
      <c r="E8" t="str">
        <f>'Raw Data'!D28</f>
        <v>56661</v>
      </c>
      <c r="F8" t="s">
        <v>143</v>
      </c>
    </row>
    <row r="9" ht="23.25" customHeight="1">
      <c r="A9" t="s">
        <v>144</v>
      </c>
      <c r="B9" t="s">
        <v>145</v>
      </c>
      <c r="C9" t="s">
        <v>140</v>
      </c>
      <c r="D9" t="str">
        <f>('Raw Data'!C28+'Raw Data'!C29)/'Raw Data'!C42</f>
        <v>0.5771784275</v>
      </c>
      <c r="E9" t="str">
        <f>('Raw Data'!D28+'Raw Data'!D29)/'Raw Data'!D42</f>
        <v>0.5983881786</v>
      </c>
      <c r="F9" t="s">
        <v>146</v>
      </c>
    </row>
    <row r="10" ht="23.25" customHeight="1">
      <c r="A10" t="s">
        <v>147</v>
      </c>
      <c r="B10" t="s">
        <v>148</v>
      </c>
      <c r="C10" t="s">
        <v>140</v>
      </c>
      <c r="D10" t="str">
        <f>'Raw Data'!C45/'Raw Data'!C51</f>
        <v>0.08228770842</v>
      </c>
      <c r="E10" t="str">
        <f>'Raw Data'!D45/'Raw Data'!D51</f>
        <v>0.08733604477</v>
      </c>
      <c r="F10" t="s">
        <v>149</v>
      </c>
    </row>
    <row r="12" ht="32.25" customHeight="1">
      <c r="A12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F1"/>
    <mergeCell ref="A2:F2"/>
    <mergeCell ref="A12:F1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5" width="13.0"/>
    <col customWidth="1" min="6" max="11" width="8.71"/>
  </cols>
  <sheetData>
    <row r="1" ht="25.5" customHeight="1">
      <c r="A1" s="1" t="s">
        <v>150</v>
      </c>
    </row>
    <row r="2" ht="15.0" customHeight="1">
      <c r="A2" s="1"/>
    </row>
    <row r="4" ht="15.0" customHeight="1">
      <c r="A4" t="s">
        <v>104</v>
      </c>
      <c r="B4" t="s">
        <v>105</v>
      </c>
      <c r="C4" t="s">
        <v>3</v>
      </c>
      <c r="D4" t="s">
        <v>4</v>
      </c>
      <c r="E4" t="s">
        <v>5</v>
      </c>
    </row>
    <row r="5" ht="15.0" customHeight="1">
      <c r="A5" t="s">
        <v>151</v>
      </c>
      <c r="B5" t="s">
        <v>152</v>
      </c>
      <c r="C5" t="str">
        <f>'Raw Data'!B100</f>
        <v>0.581</v>
      </c>
      <c r="D5" t="str">
        <f>'Raw Data'!C100</f>
        <v>0.604</v>
      </c>
      <c r="E5" t="str">
        <f>'Raw Data'!D100</f>
        <v>0.586</v>
      </c>
    </row>
    <row r="6" ht="15.0" customHeight="1">
      <c r="A6" t="s">
        <v>153</v>
      </c>
      <c r="B6" t="s">
        <v>154</v>
      </c>
      <c r="C6" t="str">
        <f>-'Raw Data'!B18/'Raw Data'!B17</f>
        <v>0.5809758978</v>
      </c>
      <c r="D6" t="str">
        <f>-'Raw Data'!C18/'Raw Data'!C17</f>
        <v>0.6443926012</v>
      </c>
      <c r="E6" t="str">
        <f>-'Raw Data'!D18/'Raw Data'!D17</f>
        <v>0.6161054474</v>
      </c>
    </row>
    <row r="7" ht="15.0" customHeight="1">
      <c r="A7" t="s">
        <v>155</v>
      </c>
      <c r="B7" t="s">
        <v>156</v>
      </c>
      <c r="C7" t="str">
        <f>-'Raw Data'!B18/('Raw Data'!B40/1000)</f>
        <v>12.16161702</v>
      </c>
      <c r="D7" t="str">
        <f>-'Raw Data'!C18/('Raw Data'!C40/1000)</f>
        <v>12.79479253</v>
      </c>
      <c r="E7" t="str">
        <f>-'Raw Data'!D18/('Raw Data'!D40/1000)</f>
        <v>12.67488073</v>
      </c>
    </row>
    <row r="8" ht="23.25" customHeight="1">
      <c r="A8" t="s">
        <v>157</v>
      </c>
      <c r="B8" t="s">
        <v>158</v>
      </c>
      <c r="C8" t="str">
        <f>-'Raw Data'!B19/(('Raw Data'!B32+'Raw Data'!B32)/2)</f>
        <v>0.0006589004843</v>
      </c>
      <c r="D8" t="str">
        <f>-'Raw Data'!C19/(('Raw Data'!C32+'Raw Data'!B32)/2)</f>
        <v>0.0009372478836</v>
      </c>
      <c r="E8" t="str">
        <f>-'Raw Data'!D19/(('Raw Data'!D32+'Raw Data'!C32)/2)</f>
        <v>0.00168911741</v>
      </c>
    </row>
    <row r="9" ht="15.0" customHeight="1">
      <c r="A9" t="s">
        <v>159</v>
      </c>
      <c r="B9" t="s">
        <v>160</v>
      </c>
      <c r="C9" t="str">
        <f>'Raw Data'!B101</f>
        <v>0.0007</v>
      </c>
      <c r="D9" t="str">
        <f>'Raw Data'!C101</f>
        <v>0.001</v>
      </c>
      <c r="E9" t="str">
        <f>'Raw Data'!D101</f>
        <v>0.0017</v>
      </c>
    </row>
    <row r="10" ht="23.25" customHeight="1">
      <c r="A10" t="s">
        <v>161</v>
      </c>
      <c r="B10" t="s">
        <v>162</v>
      </c>
      <c r="C10" t="str">
        <f>'Raw Data'!B17/56</f>
        <v>332.6607143</v>
      </c>
      <c r="D10" t="str">
        <f>'Raw Data'!C17/56</f>
        <v>321.4821429</v>
      </c>
      <c r="E10" t="str">
        <f>'Raw Data'!D17/56</f>
        <v>346.8214286</v>
      </c>
    </row>
    <row r="11" ht="15.0" customHeight="1">
      <c r="A11" t="s">
        <v>163</v>
      </c>
      <c r="B11" t="s">
        <v>164</v>
      </c>
      <c r="C11" t="str">
        <f>'Raw Data'!B8/'Raw Data'!B17</f>
        <v>0.7138332707</v>
      </c>
      <c r="D11" t="str">
        <f>'Raw Data'!C8/'Raw Data'!C17</f>
        <v>0.6819418986</v>
      </c>
      <c r="E11" t="str">
        <f>'Raw Data'!D8/'Raw Data'!D17</f>
        <v>0.6811862836</v>
      </c>
    </row>
    <row r="12" ht="15.0" customHeight="1">
      <c r="A12" t="s">
        <v>165</v>
      </c>
      <c r="B12" t="s">
        <v>166</v>
      </c>
      <c r="C12" t="str">
        <f>'Raw Data'!B16/'Raw Data'!B17</f>
        <v>0.2861667293</v>
      </c>
      <c r="D12" t="str">
        <f>'Raw Data'!C16/'Raw Data'!C17</f>
        <v>0.3180581014</v>
      </c>
      <c r="E12" t="str">
        <f>'Raw Data'!D16/'Raw Data'!D17</f>
        <v>0.3188137164</v>
      </c>
    </row>
    <row r="14" ht="32.25" customHeight="1">
      <c r="A1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E1"/>
    <mergeCell ref="A2:E2"/>
    <mergeCell ref="A14:E1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6" width="13.0"/>
    <col customWidth="1" min="7" max="11" width="8.71"/>
  </cols>
  <sheetData>
    <row r="1" ht="25.5" customHeight="1">
      <c r="A1" s="1" t="s">
        <v>167</v>
      </c>
    </row>
    <row r="2" ht="15.0" customHeight="1">
      <c r="A2" s="1"/>
    </row>
    <row r="4" ht="23.25" customHeight="1">
      <c r="A4" t="s">
        <v>104</v>
      </c>
      <c r="B4" t="s">
        <v>105</v>
      </c>
      <c r="C4" t="s">
        <v>3</v>
      </c>
      <c r="D4" t="s">
        <v>4</v>
      </c>
      <c r="E4" t="s">
        <v>5</v>
      </c>
      <c r="F4" t="s">
        <v>168</v>
      </c>
    </row>
    <row r="5" ht="45.75" customHeight="1">
      <c r="A5" t="s">
        <v>169</v>
      </c>
      <c r="B5" t="s">
        <v>170</v>
      </c>
      <c r="C5" t="str">
        <f>'Raw Data'!B102</f>
        <v>0.137</v>
      </c>
      <c r="D5" t="str">
        <f>'Raw Data'!C102</f>
        <v>0.142</v>
      </c>
      <c r="E5" t="str">
        <f>'Raw Data'!D102</f>
        <v>0.14</v>
      </c>
      <c r="F5" t="s">
        <v>171</v>
      </c>
    </row>
    <row r="6" ht="34.5" customHeight="1">
      <c r="A6" t="s">
        <v>172</v>
      </c>
      <c r="B6" t="s">
        <v>173</v>
      </c>
      <c r="C6" t="str">
        <f>'Raw Data'!B103</f>
        <v>0.137</v>
      </c>
      <c r="D6" t="str">
        <f>'Raw Data'!C103</f>
        <v>0.135</v>
      </c>
      <c r="E6" t="str">
        <f>'Raw Data'!D103</f>
        <v>0.132</v>
      </c>
      <c r="F6" t="s">
        <v>174</v>
      </c>
    </row>
    <row r="7" ht="23.25" customHeight="1">
      <c r="A7" t="s">
        <v>175</v>
      </c>
      <c r="B7" t="s">
        <v>176</v>
      </c>
      <c r="C7" t="s">
        <v>140</v>
      </c>
      <c r="D7" t="str">
        <f>'Raw Data'!C104</f>
        <v>0.055</v>
      </c>
      <c r="E7" t="str">
        <f>'Raw Data'!D104</f>
        <v>0.054</v>
      </c>
      <c r="F7" t="s">
        <v>177</v>
      </c>
    </row>
    <row r="8" ht="34.5" customHeight="1">
      <c r="A8" t="s">
        <v>178</v>
      </c>
      <c r="B8" t="s">
        <v>179</v>
      </c>
      <c r="C8" t="str">
        <f>'Raw Data'!B51/'Raw Data'!B56</f>
        <v>17.78878919</v>
      </c>
      <c r="D8" t="str">
        <f>'Raw Data'!C51/'Raw Data'!C56</f>
        <v>18.75891301</v>
      </c>
      <c r="E8" t="str">
        <f>'Raw Data'!D51/'Raw Data'!D56</f>
        <v>18.7228153</v>
      </c>
      <c r="F8" t="s">
        <v>180</v>
      </c>
    </row>
    <row r="9" ht="23.25" customHeight="1">
      <c r="A9" t="s">
        <v>181</v>
      </c>
      <c r="B9" t="s">
        <v>182</v>
      </c>
      <c r="C9" t="str">
        <f>'Raw Data'!B40/'Raw Data'!B56</f>
        <v>18.78878919</v>
      </c>
      <c r="D9" t="str">
        <f>'Raw Data'!C40/'Raw Data'!C56</f>
        <v>19.75891301</v>
      </c>
      <c r="E9" t="str">
        <f>'Raw Data'!D40/'Raw Data'!D56</f>
        <v>19.7228153</v>
      </c>
      <c r="F9" t="s">
        <v>183</v>
      </c>
    </row>
    <row r="10" ht="34.5" customHeight="1">
      <c r="A10" t="s">
        <v>184</v>
      </c>
      <c r="B10" t="s">
        <v>185</v>
      </c>
      <c r="C10" t="str">
        <f>('Raw Data'!B53-'Raw Data'!B37)/'Raw Data'!B40</f>
        <v>0.05322322742</v>
      </c>
      <c r="D10" t="str">
        <f>('Raw Data'!C53-'Raw Data'!C37)/'Raw Data'!C40</f>
        <v>0.03455729974</v>
      </c>
      <c r="E10" t="str">
        <f>('Raw Data'!D53-'Raw Data'!D37)/'Raw Data'!D40</f>
        <v>0.03509054394</v>
      </c>
      <c r="F10" t="s">
        <v>186</v>
      </c>
    </row>
    <row r="11" ht="23.25" customHeight="1">
      <c r="A11" t="s">
        <v>187</v>
      </c>
      <c r="B11" t="s">
        <v>188</v>
      </c>
      <c r="C11" t="str">
        <f>'Raw Data'!B56/'Raw Data'!B40</f>
        <v>0.05322322742</v>
      </c>
      <c r="D11" t="str">
        <f>'Raw Data'!C56/'Raw Data'!C40</f>
        <v>0.0506100715</v>
      </c>
      <c r="E11" t="str">
        <f>'Raw Data'!D56/'Raw Data'!D40</f>
        <v>0.05070270064</v>
      </c>
      <c r="F11" t="s">
        <v>189</v>
      </c>
    </row>
    <row r="13" ht="32.25" customHeight="1">
      <c r="A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F1"/>
    <mergeCell ref="A2:F2"/>
    <mergeCell ref="A13:F1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5" width="16.0"/>
    <col customWidth="1" min="6" max="11" width="8.71"/>
  </cols>
  <sheetData>
    <row r="1" ht="25.5" customHeight="1">
      <c r="A1" s="1" t="s">
        <v>190</v>
      </c>
    </row>
    <row r="2" ht="15.0" customHeight="1">
      <c r="A2" s="1"/>
    </row>
    <row r="4" ht="15.0" customHeight="1">
      <c r="A4" t="s">
        <v>104</v>
      </c>
      <c r="B4" t="s">
        <v>105</v>
      </c>
      <c r="C4" t="s">
        <v>3</v>
      </c>
      <c r="D4" t="s">
        <v>4</v>
      </c>
      <c r="E4" t="s">
        <v>5</v>
      </c>
    </row>
    <row r="5" ht="15.0" customHeight="1">
      <c r="A5" t="s">
        <v>191</v>
      </c>
      <c r="B5" t="s">
        <v>192</v>
      </c>
      <c r="C5" t="str">
        <f>'Raw Data'!B23/'Raw Data'!B113</f>
        <v>0.07594722338</v>
      </c>
      <c r="D5" t="str">
        <f>'Raw Data'!C23/'Raw Data'!C113</f>
        <v>0.06285549485</v>
      </c>
      <c r="E5" t="str">
        <f>'Raw Data'!D23/'Raw Data'!D113</f>
        <v>0.07017895969</v>
      </c>
    </row>
    <row r="6" ht="15.0" customHeight="1">
      <c r="A6" t="s">
        <v>193</v>
      </c>
      <c r="B6" t="s">
        <v>194</v>
      </c>
      <c r="C6" t="str">
        <f>'Raw Data'!B95*100</f>
        <v>7.6</v>
      </c>
      <c r="D6" t="str">
        <f>'Raw Data'!C95*100</f>
        <v>6.3</v>
      </c>
      <c r="E6" t="str">
        <f>'Raw Data'!D95*100</f>
        <v>7</v>
      </c>
    </row>
    <row r="7" ht="15.0" customHeight="1">
      <c r="A7" t="s">
        <v>195</v>
      </c>
      <c r="B7" t="s">
        <v>196</v>
      </c>
      <c r="C7" t="str">
        <f>'Raw Data'!B96*100</f>
        <v>2.76</v>
      </c>
      <c r="D7" t="str">
        <f>'Raw Data'!C96*100</f>
        <v>3.17</v>
      </c>
      <c r="E7" t="str">
        <f>'Raw Data'!D96*100</f>
        <v>3.65</v>
      </c>
    </row>
    <row r="8" ht="15.0" customHeight="1">
      <c r="A8" t="s">
        <v>197</v>
      </c>
      <c r="B8" t="s">
        <v>198</v>
      </c>
      <c r="C8" t="str">
        <f>'Raw Data'!B96/'Raw Data'!B95</f>
        <v>0.3631578947</v>
      </c>
      <c r="D8" t="str">
        <f>'Raw Data'!C96/'Raw Data'!C95</f>
        <v>0.5031746032</v>
      </c>
      <c r="E8" t="str">
        <f>'Raw Data'!D96/'Raw Data'!D95</f>
        <v>0.5214285714</v>
      </c>
    </row>
    <row r="9" ht="15.0" customHeight="1">
      <c r="A9" t="s">
        <v>199</v>
      </c>
      <c r="B9" t="s">
        <v>200</v>
      </c>
      <c r="C9" t="s">
        <v>140</v>
      </c>
      <c r="D9" t="str">
        <f>('Raw Data'!C96-'Raw Data'!B96)/'Raw Data'!B96</f>
        <v>0.1485507246</v>
      </c>
      <c r="E9" t="str">
        <f>('Raw Data'!D96-'Raw Data'!C96)/'Raw Data'!C96</f>
        <v>0.1514195584</v>
      </c>
    </row>
    <row r="10" ht="23.25" customHeight="1">
      <c r="A10" t="s">
        <v>201</v>
      </c>
      <c r="B10" t="s">
        <v>202</v>
      </c>
      <c r="C10" t="s">
        <v>140</v>
      </c>
      <c r="D10" t="str">
        <f>'Raw Data'!C97*100</f>
        <v>52.4</v>
      </c>
      <c r="E10" t="str">
        <f>'Raw Data'!D97*100</f>
        <v>57</v>
      </c>
    </row>
    <row r="11" ht="15.0" customHeight="1">
      <c r="A11" t="s">
        <v>203</v>
      </c>
      <c r="B11" t="s">
        <v>204</v>
      </c>
      <c r="C11" t="s">
        <v>140</v>
      </c>
      <c r="D11" t="s">
        <v>140</v>
      </c>
      <c r="E11" t="str">
        <f>('Raw Data'!D97-'Raw Data'!C97)/'Raw Data'!C97</f>
        <v>0.08778625954</v>
      </c>
    </row>
    <row r="12" ht="15.0" customHeight="1">
      <c r="A12" t="s">
        <v>205</v>
      </c>
      <c r="B12" t="s">
        <v>206</v>
      </c>
      <c r="C12" t="str">
        <f>'Raw Data'!B112</f>
        <v>0.109</v>
      </c>
      <c r="D12" t="str">
        <f>'Raw Data'!C112</f>
        <v>0.212</v>
      </c>
      <c r="E12" t="str">
        <f>'Raw Data'!D112</f>
        <v>0.879</v>
      </c>
    </row>
    <row r="13" ht="23.25" customHeight="1">
      <c r="A13" t="s">
        <v>207</v>
      </c>
      <c r="B13" t="s">
        <v>208</v>
      </c>
      <c r="C13" t="str">
        <f>('Raw Data'!B76*-1+'Raw Data'!B83*-1)/(('Raw Data'!B53+'Raw Data'!B53)/2)</f>
        <v>0.07693444527</v>
      </c>
      <c r="D13" t="str">
        <f>('Raw Data'!C76*-1+'Raw Data'!C83*-1)/(('Raw Data'!C53+'Raw Data'!B53)/2)</f>
        <v>0.08836866699</v>
      </c>
      <c r="E13" t="str">
        <f>('Raw Data'!D76*-1+'Raw Data'!D83*-1)/(('Raw Data'!D53+'Raw Data'!C53)/2)</f>
        <v>0.09133206962</v>
      </c>
    </row>
    <row r="14" ht="23.25" customHeight="1">
      <c r="A14" t="s">
        <v>209</v>
      </c>
      <c r="B14" t="s">
        <v>210</v>
      </c>
      <c r="C14" t="str">
        <f>'Raw Data'!B99-'Raw Data'!B111</f>
        <v>0.039</v>
      </c>
      <c r="D14" t="str">
        <f>'Raw Data'!C99-'Raw Data'!C111</f>
        <v>0.007</v>
      </c>
      <c r="E14" t="str">
        <f>'Raw Data'!D99-'Raw Data'!D111</f>
        <v>0.011</v>
      </c>
    </row>
    <row r="16" ht="32.25" customHeight="1">
      <c r="A1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E1"/>
    <mergeCell ref="A2:E2"/>
    <mergeCell ref="A16:E16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6" width="14.0"/>
    <col customWidth="1" min="7" max="11" width="8.71"/>
  </cols>
  <sheetData>
    <row r="1" ht="25.5" customHeight="1">
      <c r="A1" s="1" t="s">
        <v>211</v>
      </c>
    </row>
    <row r="2" ht="21.75" customHeight="1">
      <c r="A2" s="1"/>
    </row>
    <row r="4" ht="15.0" customHeight="1">
      <c r="A4" t="s">
        <v>83</v>
      </c>
      <c r="B4" t="s">
        <v>3</v>
      </c>
      <c r="C4" t="s">
        <v>4</v>
      </c>
      <c r="D4" t="s">
        <v>212</v>
      </c>
      <c r="E4" t="s">
        <v>5</v>
      </c>
      <c r="F4" t="s">
        <v>213</v>
      </c>
    </row>
    <row r="5" ht="15.0" customHeight="1">
      <c r="A5" t="s">
        <v>214</v>
      </c>
      <c r="B5" t="str">
        <f>'Raw Data'!B17</f>
        <v>18629</v>
      </c>
      <c r="C5" t="str">
        <f>'Raw Data'!C17</f>
        <v>18003</v>
      </c>
      <c r="D5" t="str">
        <f t="shared" ref="D5:D25" si="1">(C5-B5)/ABS(B5)</f>
        <v>-0.03360352139</v>
      </c>
      <c r="E5" t="str">
        <f>'Raw Data'!D17</f>
        <v>19422</v>
      </c>
      <c r="F5" t="str">
        <f t="shared" ref="F5:F25" si="2">(E5-C5)/ABS(C5)</f>
        <v>0.07882019663</v>
      </c>
    </row>
    <row r="6" ht="15.0" customHeight="1">
      <c r="A6" t="s">
        <v>215</v>
      </c>
      <c r="B6" t="str">
        <f>'Raw Data'!B8</f>
        <v>13298</v>
      </c>
      <c r="C6" t="str">
        <f>'Raw Data'!C8</f>
        <v>12277</v>
      </c>
      <c r="D6" t="str">
        <f t="shared" si="1"/>
        <v>-0.07677846293</v>
      </c>
      <c r="E6" t="str">
        <f>'Raw Data'!D8</f>
        <v>13230</v>
      </c>
      <c r="F6" t="str">
        <f t="shared" si="2"/>
        <v>0.07762482691</v>
      </c>
    </row>
    <row r="7" ht="15.0" customHeight="1">
      <c r="A7" t="s">
        <v>216</v>
      </c>
      <c r="B7" t="str">
        <f>'Raw Data'!B16</f>
        <v>5331</v>
      </c>
      <c r="C7" t="str">
        <f>'Raw Data'!C16</f>
        <v>5726</v>
      </c>
      <c r="D7" t="str">
        <f t="shared" si="1"/>
        <v>0.07409491653</v>
      </c>
      <c r="E7" t="str">
        <f>'Raw Data'!D16</f>
        <v>6192</v>
      </c>
      <c r="F7" t="str">
        <f t="shared" si="2"/>
        <v>0.08138316451</v>
      </c>
    </row>
    <row r="8" ht="15.0" customHeight="1">
      <c r="A8" t="s">
        <v>217</v>
      </c>
      <c r="B8" t="str">
        <f>'Raw Data'!B18</f>
        <v>-10823</v>
      </c>
      <c r="C8" t="str">
        <f>'Raw Data'!C18</f>
        <v>-11601</v>
      </c>
      <c r="D8" t="str">
        <f t="shared" si="1"/>
        <v>-0.07188395085</v>
      </c>
      <c r="E8" t="str">
        <f>'Raw Data'!D18</f>
        <v>-11966</v>
      </c>
      <c r="F8" t="str">
        <f t="shared" si="2"/>
        <v>-0.03146280493</v>
      </c>
    </row>
    <row r="9" ht="15.0" customHeight="1">
      <c r="A9" t="s">
        <v>218</v>
      </c>
      <c r="B9" t="str">
        <f>'Raw Data'!B19</f>
        <v>-303</v>
      </c>
      <c r="C9" t="str">
        <f>'Raw Data'!C19</f>
        <v>-431</v>
      </c>
      <c r="D9" t="str">
        <f t="shared" si="1"/>
        <v>-0.4224422442</v>
      </c>
      <c r="E9" t="str">
        <f>'Raw Data'!D19</f>
        <v>-795</v>
      </c>
      <c r="F9" t="str">
        <f t="shared" si="2"/>
        <v>-0.8445475638</v>
      </c>
    </row>
    <row r="10" ht="15.0" customHeight="1">
      <c r="A10" t="s">
        <v>219</v>
      </c>
      <c r="B10" t="str">
        <f>'Raw Data'!B20</f>
        <v>7503</v>
      </c>
      <c r="C10" t="str">
        <f>'Raw Data'!C20</f>
        <v>5971</v>
      </c>
      <c r="D10" t="str">
        <f t="shared" si="1"/>
        <v>-0.2041849927</v>
      </c>
      <c r="E10" t="str">
        <f>'Raw Data'!D20</f>
        <v>6661</v>
      </c>
      <c r="F10" t="str">
        <f t="shared" si="2"/>
        <v>0.1155585329</v>
      </c>
    </row>
    <row r="11" ht="15.0" customHeight="1">
      <c r="A11" t="s">
        <v>220</v>
      </c>
      <c r="B11" t="str">
        <f>'Raw Data'!B22</f>
        <v>5518</v>
      </c>
      <c r="C11" t="str">
        <f>'Raw Data'!C22</f>
        <v>4477</v>
      </c>
      <c r="D11" t="str">
        <f t="shared" si="1"/>
        <v>-0.1886553099</v>
      </c>
      <c r="E11" t="str">
        <f>'Raw Data'!D22</f>
        <v>4757</v>
      </c>
      <c r="F11" t="str">
        <f t="shared" si="2"/>
        <v>0.06254188072</v>
      </c>
    </row>
    <row r="12" ht="15.0" customHeight="1">
      <c r="A12" t="s">
        <v>221</v>
      </c>
      <c r="B12" t="str">
        <f>'Profitability Ratios'!C5</f>
        <v>0.116499525</v>
      </c>
      <c r="C12" t="str">
        <f>'Profitability Ratios'!D5</f>
        <v>0.1030545773</v>
      </c>
      <c r="D12" t="str">
        <f t="shared" si="1"/>
        <v>-0.115407747</v>
      </c>
      <c r="E12" t="str">
        <f>'Profitability Ratios'!E5</f>
        <v>0.1171069151</v>
      </c>
      <c r="F12" t="str">
        <f t="shared" si="2"/>
        <v>0.1363582119</v>
      </c>
    </row>
    <row r="13" ht="15.0" customHeight="1">
      <c r="A13" t="s">
        <v>222</v>
      </c>
      <c r="B13" t="str">
        <f>'Raw Data'!B99</f>
        <v>0.158</v>
      </c>
      <c r="C13" t="str">
        <f>'Raw Data'!C99</f>
        <v>0.123</v>
      </c>
      <c r="D13" t="str">
        <f t="shared" si="1"/>
        <v>-0.2215189873</v>
      </c>
      <c r="E13" t="str">
        <f>'Raw Data'!D99</f>
        <v>0.129</v>
      </c>
      <c r="F13" t="str">
        <f t="shared" si="2"/>
        <v>0.0487804878</v>
      </c>
    </row>
    <row r="14" ht="15.0" customHeight="1">
      <c r="A14" t="s">
        <v>223</v>
      </c>
      <c r="B14" t="str">
        <f>'Profitability Ratios'!C8</f>
        <v>0.2962048419</v>
      </c>
      <c r="C14" t="str">
        <f>'Profitability Ratios'!D8</f>
        <v>0.2486807754</v>
      </c>
      <c r="D14" t="str">
        <f t="shared" si="1"/>
        <v>-0.1604432466</v>
      </c>
      <c r="E14" t="str">
        <f>'Profitability Ratios'!E8</f>
        <v>0.2449284317</v>
      </c>
      <c r="F14" t="str">
        <f t="shared" si="2"/>
        <v>-0.01508899811</v>
      </c>
    </row>
    <row r="15" ht="15.0" customHeight="1">
      <c r="A15" t="s">
        <v>224</v>
      </c>
      <c r="B15" t="str">
        <f>'Raw Data'!B98</f>
        <v>0.0322</v>
      </c>
      <c r="C15" t="str">
        <f>'Raw Data'!C98</f>
        <v>0.0295</v>
      </c>
      <c r="D15" t="str">
        <f t="shared" si="1"/>
        <v>-0.08385093168</v>
      </c>
      <c r="E15" t="str">
        <f>'Raw Data'!D98</f>
        <v>0.0306</v>
      </c>
      <c r="F15" t="str">
        <f t="shared" si="2"/>
        <v>0.03728813559</v>
      </c>
    </row>
    <row r="16" ht="15.0" customHeight="1">
      <c r="A16" t="s">
        <v>225</v>
      </c>
      <c r="B16" t="str">
        <f>'Raw Data'!B100</f>
        <v>0.581</v>
      </c>
      <c r="C16" t="str">
        <f>'Raw Data'!C100</f>
        <v>0.604</v>
      </c>
      <c r="D16" t="str">
        <f t="shared" si="1"/>
        <v>0.0395869191</v>
      </c>
      <c r="E16" t="str">
        <f>'Raw Data'!D100</f>
        <v>0.586</v>
      </c>
      <c r="F16" t="str">
        <f t="shared" si="2"/>
        <v>-0.0298013245</v>
      </c>
    </row>
    <row r="17" ht="15.0" customHeight="1">
      <c r="A17" t="s">
        <v>226</v>
      </c>
      <c r="B17" t="str">
        <f>'Raw Data'!B101</f>
        <v>0.0007</v>
      </c>
      <c r="C17" t="str">
        <f>'Raw Data'!C101</f>
        <v>0.001</v>
      </c>
      <c r="D17" t="str">
        <f t="shared" si="1"/>
        <v>0.4285714286</v>
      </c>
      <c r="E17" t="str">
        <f>'Raw Data'!D101</f>
        <v>0.0017</v>
      </c>
      <c r="F17" t="str">
        <f t="shared" si="2"/>
        <v>0.7</v>
      </c>
    </row>
    <row r="18" ht="15.0" customHeight="1">
      <c r="A18" t="s">
        <v>227</v>
      </c>
      <c r="B18" t="str">
        <f>'Raw Data'!B105</f>
        <v>0.939</v>
      </c>
      <c r="C18" t="str">
        <f>'Raw Data'!C105</f>
        <v>0.953</v>
      </c>
      <c r="D18" t="str">
        <f t="shared" si="1"/>
        <v>0.01490947817</v>
      </c>
      <c r="E18" t="str">
        <f>'Raw Data'!D105</f>
        <v>0.97</v>
      </c>
      <c r="F18" t="str">
        <f t="shared" si="2"/>
        <v>0.01783840504</v>
      </c>
    </row>
    <row r="19" ht="15.0" customHeight="1">
      <c r="A19" t="s">
        <v>228</v>
      </c>
      <c r="B19" t="str">
        <f>'Raw Data'!B106</f>
        <v>1.5</v>
      </c>
      <c r="C19" t="str">
        <f>'Raw Data'!C106</f>
        <v>1.46</v>
      </c>
      <c r="D19" t="str">
        <f t="shared" si="1"/>
        <v>-0.02666666667</v>
      </c>
      <c r="E19" t="str">
        <f>'Raw Data'!D106</f>
        <v>1.45</v>
      </c>
      <c r="F19" t="str">
        <f t="shared" si="2"/>
        <v>-0.006849315068</v>
      </c>
    </row>
    <row r="20" ht="15.0" customHeight="1">
      <c r="A20" t="s">
        <v>229</v>
      </c>
      <c r="B20" t="str">
        <f>'Raw Data'!B102</f>
        <v>0.137</v>
      </c>
      <c r="C20" t="str">
        <f>'Raw Data'!C102</f>
        <v>0.142</v>
      </c>
      <c r="D20" t="str">
        <f t="shared" si="1"/>
        <v>0.03649635036</v>
      </c>
      <c r="E20" t="str">
        <f>'Raw Data'!D102</f>
        <v>0.14</v>
      </c>
      <c r="F20" t="str">
        <f t="shared" si="2"/>
        <v>-0.01408450704</v>
      </c>
    </row>
    <row r="21" ht="15.0" customHeight="1">
      <c r="A21" t="s">
        <v>84</v>
      </c>
      <c r="B21" t="str">
        <f>'Raw Data'!B95*100</f>
        <v>7.6</v>
      </c>
      <c r="C21" t="str">
        <f>'Raw Data'!C95*100</f>
        <v>6.3</v>
      </c>
      <c r="D21" t="str">
        <f t="shared" si="1"/>
        <v>-0.1710526316</v>
      </c>
      <c r="E21" t="str">
        <f>'Raw Data'!D95*100</f>
        <v>7</v>
      </c>
      <c r="F21" t="str">
        <f t="shared" si="2"/>
        <v>0.1111111111</v>
      </c>
    </row>
    <row r="22" ht="15.0" customHeight="1">
      <c r="A22" t="s">
        <v>230</v>
      </c>
      <c r="B22" t="str">
        <f>'Raw Data'!B96*100</f>
        <v>2.76</v>
      </c>
      <c r="C22" t="str">
        <f>'Raw Data'!C96*100</f>
        <v>3.17</v>
      </c>
      <c r="D22" t="str">
        <f t="shared" si="1"/>
        <v>0.1485507246</v>
      </c>
      <c r="E22" t="str">
        <f>'Raw Data'!D96*100</f>
        <v>3.65</v>
      </c>
      <c r="F22" t="str">
        <f t="shared" si="2"/>
        <v>0.1514195584</v>
      </c>
    </row>
    <row r="23" ht="15.0" customHeight="1">
      <c r="A23" t="s">
        <v>231</v>
      </c>
      <c r="B23" t="str">
        <f>'Raw Data'!B40</f>
        <v>889931</v>
      </c>
      <c r="C23" t="str">
        <f>'Raw Data'!C40</f>
        <v>906697</v>
      </c>
      <c r="D23" t="str">
        <f t="shared" si="1"/>
        <v>0.01883966285</v>
      </c>
      <c r="E23" t="str">
        <f>'Raw Data'!D40</f>
        <v>944072</v>
      </c>
      <c r="F23" t="str">
        <f t="shared" si="2"/>
        <v>0.04122104738</v>
      </c>
    </row>
    <row r="24" ht="15.0" customHeight="1">
      <c r="A24" t="s">
        <v>232</v>
      </c>
      <c r="B24" t="str">
        <f>'Raw Data'!B32</f>
        <v>459857</v>
      </c>
      <c r="C24" t="str">
        <f>'Raw Data'!C32</f>
        <v>459857</v>
      </c>
      <c r="D24" t="str">
        <f t="shared" si="1"/>
        <v>0</v>
      </c>
      <c r="E24" t="str">
        <f>'Raw Data'!D32</f>
        <v>481463</v>
      </c>
      <c r="F24" t="str">
        <f t="shared" si="2"/>
        <v>0.04698417117</v>
      </c>
    </row>
    <row r="25" ht="15.0" customHeight="1">
      <c r="A25" t="s">
        <v>233</v>
      </c>
      <c r="B25" t="str">
        <f>'Raw Data'!B42</f>
        <v>490000</v>
      </c>
      <c r="C25" t="str">
        <f>'Raw Data'!C42</f>
        <v>482745</v>
      </c>
      <c r="D25" t="str">
        <f t="shared" si="1"/>
        <v>-0.01480612245</v>
      </c>
      <c r="E25" t="str">
        <f>'Raw Data'!D42</f>
        <v>496457</v>
      </c>
      <c r="F25" t="str">
        <f t="shared" si="2"/>
        <v>0.02840422998</v>
      </c>
    </row>
    <row r="26" ht="15.75" customHeight="1"/>
    <row r="27" ht="42.75" customHeight="1">
      <c r="A27" s="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F1"/>
    <mergeCell ref="A2:F2"/>
    <mergeCell ref="A27:F27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8.0"/>
    <col customWidth="1" min="2" max="2" width="36.0"/>
    <col customWidth="1" min="3" max="8" width="14.0"/>
    <col customWidth="1" min="9" max="11" width="8.71"/>
  </cols>
  <sheetData>
    <row r="1" ht="25.5" customHeight="1">
      <c r="A1" s="1" t="s">
        <v>234</v>
      </c>
    </row>
    <row r="2" ht="21.75" customHeight="1">
      <c r="A2" s="1"/>
    </row>
    <row r="4" ht="15.0" customHeight="1">
      <c r="A4" t="s">
        <v>83</v>
      </c>
      <c r="B4" t="s">
        <v>235</v>
      </c>
      <c r="C4" t="s">
        <v>236</v>
      </c>
      <c r="D4" t="s">
        <v>237</v>
      </c>
      <c r="E4" t="s">
        <v>238</v>
      </c>
      <c r="F4" t="s">
        <v>239</v>
      </c>
      <c r="G4" t="s">
        <v>240</v>
      </c>
      <c r="H4" t="s">
        <v>241</v>
      </c>
    </row>
    <row r="5" ht="21.75" customHeight="1">
      <c r="A5" t="s">
        <v>222</v>
      </c>
      <c r="B5" t="s">
        <v>242</v>
      </c>
      <c r="C5" t="str">
        <f>'Raw Data'!D99</f>
        <v>0.129</v>
      </c>
      <c r="D5">
        <v>0.125</v>
      </c>
      <c r="E5">
        <v>0.14</v>
      </c>
      <c r="F5">
        <v>0.14</v>
      </c>
      <c r="G5" t="str">
        <f t="shared" ref="G5:G12" si="1">AVERAGE(D5:F5)</f>
        <v>0.135</v>
      </c>
      <c r="H5" t="str">
        <f t="shared" ref="H5:H12" si="2">C5-G5</f>
        <v>-0.006</v>
      </c>
    </row>
    <row r="6" ht="21.75" customHeight="1">
      <c r="A6" t="s">
        <v>243</v>
      </c>
      <c r="B6" t="s">
        <v>244</v>
      </c>
      <c r="C6" t="str">
        <f>'Raw Data'!D102</f>
        <v>0.14</v>
      </c>
      <c r="D6">
        <v>0.132</v>
      </c>
      <c r="E6">
        <v>0.139</v>
      </c>
      <c r="F6">
        <v>0.149</v>
      </c>
      <c r="G6" t="str">
        <f t="shared" si="1"/>
        <v>0.14</v>
      </c>
      <c r="H6" t="str">
        <f t="shared" si="2"/>
        <v>0</v>
      </c>
    </row>
    <row r="7" ht="15.0" customHeight="1">
      <c r="A7" t="s">
        <v>245</v>
      </c>
      <c r="B7" t="s">
        <v>246</v>
      </c>
      <c r="C7" t="str">
        <f>'Raw Data'!D100</f>
        <v>0.586</v>
      </c>
      <c r="D7">
        <v>0.61</v>
      </c>
      <c r="E7">
        <v>0.55</v>
      </c>
      <c r="F7">
        <v>0.47</v>
      </c>
      <c r="G7" t="str">
        <f t="shared" si="1"/>
        <v>0.5433333333</v>
      </c>
      <c r="H7" t="str">
        <f t="shared" si="2"/>
        <v>0.04266666667</v>
      </c>
    </row>
    <row r="8" ht="21.75" customHeight="1">
      <c r="A8" t="s">
        <v>247</v>
      </c>
      <c r="B8" t="s">
        <v>248</v>
      </c>
      <c r="C8" t="str">
        <f>'Raw Data'!D98</f>
        <v>0.0306</v>
      </c>
      <c r="D8">
        <v>0.028</v>
      </c>
      <c r="E8">
        <v>0.028</v>
      </c>
      <c r="F8">
        <v>0.015</v>
      </c>
      <c r="G8" t="str">
        <f t="shared" si="1"/>
        <v>0.02366666667</v>
      </c>
      <c r="H8" t="str">
        <f t="shared" si="2"/>
        <v>0.006933333333</v>
      </c>
    </row>
    <row r="9" ht="21.75" customHeight="1">
      <c r="A9" t="s">
        <v>249</v>
      </c>
      <c r="B9" t="s">
        <v>244</v>
      </c>
      <c r="C9" t="str">
        <f>'Raw Data'!D105</f>
        <v>0.97</v>
      </c>
      <c r="D9">
        <v>0.95</v>
      </c>
      <c r="E9">
        <v>0.88</v>
      </c>
      <c r="F9">
        <v>0.75</v>
      </c>
      <c r="G9" t="str">
        <f t="shared" si="1"/>
        <v>0.86</v>
      </c>
      <c r="H9" t="str">
        <f t="shared" si="2"/>
        <v>0.11</v>
      </c>
    </row>
    <row r="10" ht="21.75" customHeight="1">
      <c r="A10" t="s">
        <v>250</v>
      </c>
      <c r="B10" t="s">
        <v>251</v>
      </c>
      <c r="C10" t="str">
        <f>'Investor Ratios'!E9</f>
        <v>0.1514195584</v>
      </c>
      <c r="D10">
        <v>0.1</v>
      </c>
      <c r="E10">
        <v>0.1</v>
      </c>
      <c r="F10">
        <v>0.15</v>
      </c>
      <c r="G10" t="str">
        <f t="shared" si="1"/>
        <v>0.1166666667</v>
      </c>
      <c r="H10" t="str">
        <f t="shared" si="2"/>
        <v>0.03475289169</v>
      </c>
    </row>
    <row r="11" ht="21.75" customHeight="1">
      <c r="A11" t="s">
        <v>252</v>
      </c>
      <c r="B11" t="s">
        <v>253</v>
      </c>
      <c r="C11" t="str">
        <f>'Raw Data'!D112</f>
        <v>0.879</v>
      </c>
      <c r="D11">
        <v>0.35</v>
      </c>
      <c r="E11">
        <v>0.25</v>
      </c>
      <c r="F11">
        <v>0.15</v>
      </c>
      <c r="G11" t="str">
        <f t="shared" si="1"/>
        <v>0.25</v>
      </c>
      <c r="H11" t="str">
        <f t="shared" si="2"/>
        <v>0.629</v>
      </c>
    </row>
    <row r="12" ht="21.75" customHeight="1">
      <c r="A12" t="s">
        <v>254</v>
      </c>
      <c r="B12" t="s">
        <v>255</v>
      </c>
      <c r="C12" t="str">
        <f>'Raw Data'!D101</f>
        <v>0.0017</v>
      </c>
      <c r="D12">
        <v>0.0035</v>
      </c>
      <c r="E12">
        <v>0.002</v>
      </c>
      <c r="F12">
        <v>0.0025</v>
      </c>
      <c r="G12" t="str">
        <f t="shared" si="1"/>
        <v>0.002666666667</v>
      </c>
      <c r="H12" t="str">
        <f t="shared" si="2"/>
        <v>-0.0009666666667</v>
      </c>
    </row>
    <row r="14" ht="32.25" customHeight="1">
      <c r="A1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H1"/>
    <mergeCell ref="A2:H2"/>
    <mergeCell ref="A14:H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8.0"/>
    <col customWidth="1" min="2" max="2" width="40.0"/>
    <col customWidth="1" min="3" max="5" width="14.0"/>
    <col customWidth="1" min="6" max="11" width="8.71"/>
  </cols>
  <sheetData>
    <row r="1" ht="25.5" customHeight="1">
      <c r="A1" s="1" t="s">
        <v>256</v>
      </c>
    </row>
    <row r="3" ht="15.0" customHeight="1">
      <c r="A3" s="1" t="s">
        <v>257</v>
      </c>
    </row>
    <row r="4" ht="15.0" customHeight="1">
      <c r="A4" t="s">
        <v>83</v>
      </c>
      <c r="B4" t="s">
        <v>235</v>
      </c>
      <c r="C4" t="s">
        <v>3</v>
      </c>
      <c r="D4" t="s">
        <v>4</v>
      </c>
      <c r="E4" t="s">
        <v>5</v>
      </c>
    </row>
    <row r="5" ht="15.0" customHeight="1">
      <c r="A5" t="s">
        <v>258</v>
      </c>
      <c r="B5" t="s">
        <v>259</v>
      </c>
      <c r="C5" t="str">
        <f>'Raw Data'!B53</f>
        <v>47365</v>
      </c>
      <c r="D5" t="str">
        <f>'Raw Data'!C53</f>
        <v>39521</v>
      </c>
      <c r="E5" t="str">
        <f>'Raw Data'!D53</f>
        <v>41721</v>
      </c>
    </row>
    <row r="6" ht="15.0" customHeight="1">
      <c r="A6" t="s">
        <v>260</v>
      </c>
      <c r="B6" t="s">
        <v>259</v>
      </c>
      <c r="C6" t="str">
        <f>'Raw Data'!B54</f>
        <v>6940</v>
      </c>
      <c r="D6" t="str">
        <f>'Raw Data'!C54</f>
        <v>6195</v>
      </c>
      <c r="E6" t="str">
        <f>'Raw Data'!D54</f>
        <v>5947</v>
      </c>
    </row>
    <row r="7" ht="15.0" customHeight="1">
      <c r="A7" t="s">
        <v>261</v>
      </c>
      <c r="B7" t="s">
        <v>259</v>
      </c>
      <c r="C7" t="str">
        <f>'Raw Data'!B46</f>
        <v/>
      </c>
      <c r="D7" t="str">
        <f>'Raw Data'!C46</f>
        <v>10089</v>
      </c>
      <c r="E7" t="str">
        <f>'Raw Data'!D46</f>
        <v>9894</v>
      </c>
    </row>
    <row r="8" ht="15.0" customHeight="1">
      <c r="A8" t="s">
        <v>262</v>
      </c>
      <c r="B8" t="s">
        <v>263</v>
      </c>
      <c r="C8" t="str">
        <f>'Raw Data'!B45</f>
        <v/>
      </c>
      <c r="D8" t="str">
        <f>'Raw Data'!C45</f>
        <v>70834</v>
      </c>
      <c r="E8" t="str">
        <f>'Raw Data'!D45</f>
        <v>78271</v>
      </c>
    </row>
    <row r="9" ht="15.0" customHeight="1">
      <c r="A9" t="s">
        <v>233</v>
      </c>
      <c r="B9" t="s">
        <v>264</v>
      </c>
      <c r="C9" t="str">
        <f>'Raw Data'!B42</f>
        <v>490000</v>
      </c>
      <c r="D9" t="str">
        <f>'Raw Data'!C42</f>
        <v>482745</v>
      </c>
      <c r="E9" t="str">
        <f>'Raw Data'!D42</f>
        <v>496457</v>
      </c>
    </row>
    <row r="10" ht="15.0" customHeight="1">
      <c r="A10" t="s">
        <v>265</v>
      </c>
      <c r="B10" t="s">
        <v>259</v>
      </c>
      <c r="C10" t="str">
        <f>'Raw Data'!B56</f>
        <v>47365</v>
      </c>
      <c r="D10" t="str">
        <f>'Raw Data'!C56</f>
        <v>45888</v>
      </c>
      <c r="E10" t="str">
        <f>'Raw Data'!D56</f>
        <v>47867</v>
      </c>
    </row>
    <row r="11" ht="15.0" customHeight="1">
      <c r="A11" t="s">
        <v>266</v>
      </c>
      <c r="B11" t="s">
        <v>259</v>
      </c>
      <c r="C11" t="str">
        <f>'Raw Data'!B51</f>
        <v>842566</v>
      </c>
      <c r="D11" t="str">
        <f>'Raw Data'!C51</f>
        <v>860809</v>
      </c>
      <c r="E11" t="str">
        <f>'Raw Data'!D51</f>
        <v>896205</v>
      </c>
    </row>
    <row r="12" ht="15.0" customHeight="1">
      <c r="A12" t="s">
        <v>267</v>
      </c>
      <c r="B12" t="s">
        <v>179</v>
      </c>
      <c r="C12" t="str">
        <f>'Raw Data'!B51/'Raw Data'!B56</f>
        <v>17.78878919</v>
      </c>
      <c r="D12" t="str">
        <f>'Raw Data'!C51/'Raw Data'!C56</f>
        <v>18.75891301</v>
      </c>
      <c r="E12" t="str">
        <f>'Raw Data'!D51/'Raw Data'!D56</f>
        <v>18.7228153</v>
      </c>
    </row>
    <row r="13" ht="15.0" customHeight="1">
      <c r="A13" t="s">
        <v>268</v>
      </c>
      <c r="B13" t="s">
        <v>269</v>
      </c>
      <c r="C13" t="str">
        <f>'Raw Data'!B40/'Raw Data'!B56</f>
        <v>18.78878919</v>
      </c>
      <c r="D13" t="str">
        <f>'Raw Data'!C40/'Raw Data'!C56</f>
        <v>19.75891301</v>
      </c>
      <c r="E13" t="str">
        <f>'Raw Data'!D40/'Raw Data'!D56</f>
        <v>19.7228153</v>
      </c>
    </row>
    <row r="14" ht="15.0" customHeight="1">
      <c r="A14" t="s">
        <v>270</v>
      </c>
      <c r="B14" t="s">
        <v>271</v>
      </c>
      <c r="C14" t="str">
        <f>'Raw Data'!B42/('Raw Data'!B51+'Raw Data'!B56)</f>
        <v>0.5506044851</v>
      </c>
      <c r="D14" t="str">
        <f>'Raw Data'!C42/('Raw Data'!C51+'Raw Data'!C56)</f>
        <v>0.5324215256</v>
      </c>
      <c r="E14" t="str">
        <f>'Raw Data'!D42/('Raw Data'!D51+'Raw Data'!D56)</f>
        <v>0.5258677304</v>
      </c>
    </row>
    <row r="15" ht="15.0" customHeight="1">
      <c r="A15" t="s">
        <v>229</v>
      </c>
      <c r="B15" t="s">
        <v>272</v>
      </c>
      <c r="C15" t="str">
        <f>'Raw Data'!B102</f>
        <v>0.137</v>
      </c>
      <c r="D15" t="str">
        <f>'Raw Data'!C102</f>
        <v>0.142</v>
      </c>
      <c r="E15" t="str">
        <f>'Raw Data'!D102</f>
        <v>0.14</v>
      </c>
    </row>
    <row r="16" ht="15.0" customHeight="1">
      <c r="A16" t="s">
        <v>273</v>
      </c>
      <c r="B16" t="s">
        <v>274</v>
      </c>
      <c r="C16" t="str">
        <f>'Raw Data'!B76*-1</f>
        <v>1651</v>
      </c>
      <c r="D16" t="str">
        <f>'Raw Data'!C76*-1</f>
        <v>1828</v>
      </c>
      <c r="E16" t="str">
        <f>'Raw Data'!D76*-1</f>
        <v>2000</v>
      </c>
    </row>
    <row r="17" ht="15.0" customHeight="1">
      <c r="A17" t="s">
        <v>275</v>
      </c>
      <c r="B17" t="s">
        <v>274</v>
      </c>
      <c r="C17" t="str">
        <f>'Raw Data'!B83*-1</f>
        <v>1993</v>
      </c>
      <c r="D17" t="str">
        <f>'Raw Data'!C83*-1</f>
        <v>2011</v>
      </c>
      <c r="E17" t="str">
        <f>'Raw Data'!D83*-1</f>
        <v>1710</v>
      </c>
    </row>
    <row r="18" ht="23.25" customHeight="1">
      <c r="A18" t="s">
        <v>276</v>
      </c>
      <c r="B18" t="s">
        <v>277</v>
      </c>
      <c r="C18" t="str">
        <f>'Raw Data'!B76*-1+'Raw Data'!B83*-1</f>
        <v>3644</v>
      </c>
      <c r="D18" t="str">
        <f>'Raw Data'!C76*-1+'Raw Data'!C83*-1</f>
        <v>3839</v>
      </c>
      <c r="E18" t="str">
        <f>'Raw Data'!D76*-1+'Raw Data'!D83*-1</f>
        <v>3710</v>
      </c>
    </row>
    <row r="19" ht="15.0" customHeight="1">
      <c r="A19" t="s">
        <v>278</v>
      </c>
      <c r="B19" t="s">
        <v>279</v>
      </c>
      <c r="C19" t="str">
        <f>(ABS('Raw Data'!B76)+ABS('Raw Data'!B83))/'Raw Data'!B22</f>
        <v>0.6603841972</v>
      </c>
      <c r="D19" t="str">
        <f>(ABS('Raw Data'!C76)+ABS('Raw Data'!C83))/'Raw Data'!C22</f>
        <v>0.8574938575</v>
      </c>
      <c r="E19" t="str">
        <f>(ABS('Raw Data'!D76)+ABS('Raw Data'!D83))/'Raw Data'!D22</f>
        <v>0.7799033004</v>
      </c>
    </row>
    <row r="21" ht="15.75" customHeight="1"/>
    <row r="22" ht="15.0" customHeight="1">
      <c r="A22" s="1" t="s">
        <v>280</v>
      </c>
    </row>
    <row r="23" ht="15.0" customHeight="1">
      <c r="A23" t="s">
        <v>83</v>
      </c>
      <c r="B23" t="s">
        <v>235</v>
      </c>
      <c r="C23" t="s">
        <v>3</v>
      </c>
      <c r="D23" t="s">
        <v>4</v>
      </c>
      <c r="E23" t="s">
        <v>5</v>
      </c>
    </row>
    <row r="24" ht="15.0" customHeight="1">
      <c r="A24" t="s">
        <v>227</v>
      </c>
      <c r="B24" t="s">
        <v>281</v>
      </c>
      <c r="C24" t="str">
        <f>'Raw Data'!B32/'Raw Data'!B42</f>
        <v>0.9384836735</v>
      </c>
      <c r="D24" t="str">
        <f>'Raw Data'!C32/'Raw Data'!C42</f>
        <v>0.9525878052</v>
      </c>
      <c r="E24" t="str">
        <f>'Raw Data'!D32/'Raw Data'!D42</f>
        <v>0.9697979885</v>
      </c>
    </row>
    <row r="25" ht="15.0" customHeight="1">
      <c r="A25" t="s">
        <v>282</v>
      </c>
      <c r="B25" t="s">
        <v>283</v>
      </c>
      <c r="C25" t="str">
        <f>'Raw Data'!B106</f>
        <v>1.5</v>
      </c>
      <c r="D25" t="str">
        <f>'Raw Data'!C106</f>
        <v>1.46</v>
      </c>
      <c r="E25" t="str">
        <f>'Raw Data'!D106</f>
        <v>1.45</v>
      </c>
    </row>
    <row r="26" ht="15.0" customHeight="1">
      <c r="A26" t="s">
        <v>284</v>
      </c>
      <c r="B26" t="s">
        <v>283</v>
      </c>
      <c r="C26" t="s">
        <v>140</v>
      </c>
      <c r="D26" t="str">
        <f>'Raw Data'!C107</f>
        <v>1.29</v>
      </c>
      <c r="E26" t="str">
        <f>'Raw Data'!D107</f>
        <v>1.24</v>
      </c>
    </row>
    <row r="27" ht="15.0" customHeight="1">
      <c r="A27" t="s">
        <v>285</v>
      </c>
      <c r="B27" t="s">
        <v>274</v>
      </c>
      <c r="C27" t="str">
        <f>'Raw Data'!B90</f>
        <v>88838</v>
      </c>
      <c r="D27" t="str">
        <f>'Raw Data'!C90</f>
        <v>70816</v>
      </c>
      <c r="E27" t="str">
        <f>'Raw Data'!D90</f>
        <v>60593</v>
      </c>
    </row>
    <row r="28" ht="15.0" customHeight="1">
      <c r="A28" t="s">
        <v>286</v>
      </c>
      <c r="B28" t="s">
        <v>274</v>
      </c>
      <c r="C28" t="str">
        <f>'Raw Data'!B68</f>
        <v>6810</v>
      </c>
      <c r="D28" t="str">
        <f>'Raw Data'!C68</f>
        <v>-4393</v>
      </c>
      <c r="E28" t="str">
        <f>'Raw Data'!D68</f>
        <v>5701</v>
      </c>
    </row>
    <row r="29" ht="15.0" customHeight="1">
      <c r="A29" t="s">
        <v>287</v>
      </c>
      <c r="B29" t="s">
        <v>274</v>
      </c>
      <c r="C29" t="str">
        <f>'Raw Data'!B75</f>
        <v>-9821</v>
      </c>
      <c r="D29" t="str">
        <f>'Raw Data'!C75</f>
        <v>-7691</v>
      </c>
      <c r="E29" t="str">
        <f>'Raw Data'!D75</f>
        <v>-10189</v>
      </c>
    </row>
    <row r="30" ht="15.0" customHeight="1">
      <c r="A30" t="s">
        <v>288</v>
      </c>
      <c r="B30" t="s">
        <v>274</v>
      </c>
      <c r="C30" t="str">
        <f>'Raw Data'!B86</f>
        <v>-3500</v>
      </c>
      <c r="D30" t="str">
        <f>'Raw Data'!C86</f>
        <v>-5931</v>
      </c>
      <c r="E30" t="str">
        <f>'Raw Data'!D86</f>
        <v>-5357</v>
      </c>
    </row>
    <row r="31" ht="15.0" customHeight="1">
      <c r="A31" t="s">
        <v>289</v>
      </c>
      <c r="B31" t="s">
        <v>274</v>
      </c>
      <c r="C31" t="str">
        <f>'Raw Data'!B88</f>
        <v>-6991</v>
      </c>
      <c r="D31" t="str">
        <f>'Raw Data'!C88</f>
        <v>-18022</v>
      </c>
      <c r="E31" t="str">
        <f>'Raw Data'!D88</f>
        <v>-10223</v>
      </c>
    </row>
    <row r="32" ht="15.0" customHeight="1">
      <c r="A32" t="s">
        <v>290</v>
      </c>
      <c r="B32" t="s">
        <v>291</v>
      </c>
      <c r="C32" t="s">
        <v>140</v>
      </c>
      <c r="D32" t="str">
        <f>('Raw Data'!C42-'Raw Data'!B42)/'Raw Data'!B42</f>
        <v>-0.01480612245</v>
      </c>
      <c r="E32" t="str">
        <f>('Raw Data'!D42-'Raw Data'!C42)/'Raw Data'!C42</f>
        <v>0.02840422998</v>
      </c>
    </row>
    <row r="33" ht="15.0" customHeight="1">
      <c r="A33" t="s">
        <v>292</v>
      </c>
      <c r="B33" t="s">
        <v>293</v>
      </c>
      <c r="C33" t="s">
        <v>140</v>
      </c>
      <c r="D33" t="str">
        <f>('Raw Data'!C32-'Raw Data'!B32)/'Raw Data'!B32</f>
        <v>0</v>
      </c>
      <c r="E33" t="str">
        <f>('Raw Data'!D32-'Raw Data'!C32)/'Raw Data'!C32</f>
        <v>0.04698417117</v>
      </c>
    </row>
    <row r="34" ht="23.25" customHeight="1">
      <c r="A34" t="s">
        <v>294</v>
      </c>
      <c r="B34" t="s">
        <v>295</v>
      </c>
      <c r="C34" t="str">
        <f>'Raw Data'!B42-'Raw Data'!B32</f>
        <v>30143</v>
      </c>
      <c r="D34" t="str">
        <f>'Raw Data'!C42-'Raw Data'!C32</f>
        <v>22888</v>
      </c>
      <c r="E34" t="str">
        <f>'Raw Data'!D42-'Raw Data'!D32</f>
        <v>14994</v>
      </c>
    </row>
    <row r="35" ht="15.0" customHeight="1">
      <c r="A35" t="s">
        <v>296</v>
      </c>
      <c r="B35" t="s">
        <v>297</v>
      </c>
      <c r="C35" t="s">
        <v>140</v>
      </c>
      <c r="D35" t="str">
        <f>29721</f>
        <v>29721</v>
      </c>
      <c r="E35" t="str">
        <f>29843</f>
        <v>29843</v>
      </c>
    </row>
    <row r="36" ht="15.0" customHeight="1">
      <c r="A36" t="s">
        <v>298</v>
      </c>
      <c r="B36" t="s">
        <v>297</v>
      </c>
      <c r="C36" t="s">
        <v>140</v>
      </c>
      <c r="D36" t="str">
        <f>17840</f>
        <v>17840</v>
      </c>
      <c r="E36" t="str">
        <f>16589</f>
        <v>16589</v>
      </c>
    </row>
    <row r="37" ht="23.25" customHeight="1">
      <c r="A37" t="s">
        <v>299</v>
      </c>
      <c r="B37" t="s">
        <v>300</v>
      </c>
      <c r="C37" t="s">
        <v>140</v>
      </c>
      <c r="D37" t="str">
        <f t="shared" ref="D37:E37" si="1">D35-D36</f>
        <v>11881</v>
      </c>
      <c r="E37" t="str">
        <f t="shared" si="1"/>
        <v>13254</v>
      </c>
    </row>
    <row r="38" ht="15.75" customHeight="1"/>
    <row r="39" ht="42.75" customHeight="1">
      <c r="A39" s="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E1"/>
    <mergeCell ref="A3:E3"/>
    <mergeCell ref="A22:E22"/>
    <mergeCell ref="A39:E39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Raw Data</vt:lpstr>
      <vt:lpstr>Profitability Ratios</vt:lpstr>
      <vt:lpstr>Liquidity Ratios</vt:lpstr>
      <vt:lpstr>Efficiency Ratios</vt:lpstr>
      <vt:lpstr>Solvency Ratios</vt:lpstr>
      <vt:lpstr>Investor Ratios</vt:lpstr>
      <vt:lpstr>Trend Analysis</vt:lpstr>
      <vt:lpstr>Benchmarking</vt:lpstr>
      <vt:lpstr>Capital Structure &amp; WCM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2026-08-17T17:01:10Z</dcterms:created>
  <dc:creator>openpyxl</dc:creator>
  <dc:description/>
  <dc:language>en-US</dc:language>
  <cp:lastModifiedBy>mac</cp:lastModifiedBy>
  <dcterms:modified xsi:type="dcterms:W3CDTF">2026-08-17T17:24:18Z</dcterms:modified>
  <cp:revision>0</cp:revision>
  <dc:subject/>
  <dc:title/>
</cp:coreProperties>
</file>